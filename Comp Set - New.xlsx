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Claude\"/>
    </mc:Choice>
  </mc:AlternateContent>
  <xr:revisionPtr revIDLastSave="0" documentId="8_{27DFA21F-A999-4889-AA2B-5C816CA1F64C}" xr6:coauthVersionLast="47" xr6:coauthVersionMax="47" xr10:uidLastSave="{00000000-0000-0000-0000-000000000000}"/>
  <bookViews>
    <workbookView xWindow="-108" yWindow="-108" windowWidth="23256" windowHeight="13896" firstSheet="2" activeTab="2" xr2:uid="{EF2278FA-885E-4450-8F6A-A7C3253E3F36}"/>
  </bookViews>
  <sheets>
    <sheet name="__snloffice" sheetId="4" state="veryHidden" r:id="rId1"/>
    <sheet name="_CIQHiddenCacheSheet" sheetId="27" state="veryHidden" r:id="rId2"/>
    <sheet name="Lease Adjusted" sheetId="1" r:id="rId3"/>
    <sheet name="Excluding Leases" sheetId="6" r:id="rId4"/>
  </sheets>
  <definedNames>
    <definedName name="CIQWBGuid" hidden="1">"d1e85836-cc67-4200-b56d-dfb222c54e92"</definedName>
    <definedName name="CIQWBInfo" hidden="1">"{ ""CIQVersion"":""9.48.1616.5174""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45869.2158101852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8" i="1" l="1"/>
  <c r="X27" i="1"/>
  <c r="X26" i="1"/>
  <c r="X25" i="1"/>
  <c r="X24" i="1"/>
  <c r="V28" i="1"/>
  <c r="V27" i="1"/>
  <c r="V26" i="1"/>
  <c r="V25" i="1"/>
  <c r="V24" i="1"/>
  <c r="S28" i="1"/>
  <c r="S27" i="1"/>
  <c r="S26" i="1"/>
  <c r="S25" i="1"/>
  <c r="S24" i="1"/>
  <c r="M28" i="1"/>
  <c r="L28" i="1"/>
  <c r="K28" i="1"/>
  <c r="J28" i="1"/>
  <c r="H28" i="1"/>
  <c r="G28" i="1"/>
  <c r="F28" i="1"/>
  <c r="N28" i="1" s="1"/>
  <c r="E28" i="1"/>
  <c r="C28" i="1"/>
  <c r="M27" i="1"/>
  <c r="L27" i="1"/>
  <c r="K27" i="1"/>
  <c r="J27" i="1"/>
  <c r="H27" i="1"/>
  <c r="G27" i="1"/>
  <c r="F27" i="1"/>
  <c r="N27" i="1" s="1"/>
  <c r="E27" i="1"/>
  <c r="C27" i="1"/>
  <c r="M26" i="1"/>
  <c r="L26" i="1"/>
  <c r="K26" i="1"/>
  <c r="J26" i="1"/>
  <c r="H26" i="1"/>
  <c r="G26" i="1"/>
  <c r="F26" i="1"/>
  <c r="N26" i="1" s="1"/>
  <c r="E26" i="1"/>
  <c r="C26" i="1"/>
  <c r="M25" i="1"/>
  <c r="L25" i="1"/>
  <c r="K25" i="1"/>
  <c r="J25" i="1"/>
  <c r="H25" i="1"/>
  <c r="G25" i="1"/>
  <c r="F25" i="1"/>
  <c r="N25" i="1" s="1"/>
  <c r="E25" i="1"/>
  <c r="C25" i="1"/>
  <c r="M24" i="1"/>
  <c r="L24" i="1"/>
  <c r="K24" i="1"/>
  <c r="J24" i="1"/>
  <c r="H24" i="1"/>
  <c r="G24" i="1"/>
  <c r="F24" i="1"/>
  <c r="N24" i="1" s="1"/>
  <c r="E24" i="1"/>
  <c r="C24" i="1"/>
  <c r="X20" i="1"/>
  <c r="X19" i="1"/>
  <c r="X18" i="1"/>
  <c r="X17" i="1"/>
  <c r="X16" i="1"/>
  <c r="X15" i="1"/>
  <c r="X14" i="1"/>
  <c r="V20" i="1"/>
  <c r="V19" i="1"/>
  <c r="V18" i="1"/>
  <c r="V17" i="1"/>
  <c r="V16" i="1"/>
  <c r="V15" i="1"/>
  <c r="V14" i="1"/>
  <c r="S20" i="1"/>
  <c r="S19" i="1"/>
  <c r="S18" i="1"/>
  <c r="S17" i="1"/>
  <c r="S16" i="1"/>
  <c r="S15" i="1"/>
  <c r="S14" i="1"/>
  <c r="M20" i="1"/>
  <c r="N20" i="1" s="1"/>
  <c r="L20" i="1"/>
  <c r="K20" i="1"/>
  <c r="J20" i="1"/>
  <c r="H20" i="1"/>
  <c r="G20" i="1"/>
  <c r="F20" i="1"/>
  <c r="E20" i="1"/>
  <c r="C20" i="1"/>
  <c r="M19" i="1"/>
  <c r="N19" i="1" s="1"/>
  <c r="L19" i="1"/>
  <c r="K19" i="1"/>
  <c r="J19" i="1"/>
  <c r="H19" i="1"/>
  <c r="G19" i="1"/>
  <c r="F19" i="1"/>
  <c r="E19" i="1"/>
  <c r="C19" i="1"/>
  <c r="M18" i="1"/>
  <c r="N18" i="1" s="1"/>
  <c r="L18" i="1"/>
  <c r="K18" i="1"/>
  <c r="J18" i="1"/>
  <c r="H18" i="1"/>
  <c r="G18" i="1"/>
  <c r="F18" i="1"/>
  <c r="E18" i="1"/>
  <c r="C18" i="1"/>
  <c r="M17" i="1"/>
  <c r="N17" i="1" s="1"/>
  <c r="L17" i="1"/>
  <c r="K17" i="1"/>
  <c r="J17" i="1"/>
  <c r="H17" i="1"/>
  <c r="G17" i="1"/>
  <c r="F17" i="1"/>
  <c r="E17" i="1"/>
  <c r="C17" i="1"/>
  <c r="N16" i="1"/>
  <c r="M16" i="1"/>
  <c r="L16" i="1"/>
  <c r="K16" i="1"/>
  <c r="J16" i="1"/>
  <c r="H16" i="1"/>
  <c r="G16" i="1"/>
  <c r="F16" i="1"/>
  <c r="E16" i="1"/>
  <c r="C16" i="1"/>
  <c r="M15" i="1"/>
  <c r="N15" i="1" s="1"/>
  <c r="L15" i="1"/>
  <c r="K15" i="1"/>
  <c r="J15" i="1"/>
  <c r="H15" i="1"/>
  <c r="G15" i="1"/>
  <c r="F15" i="1"/>
  <c r="E15" i="1"/>
  <c r="C15" i="1"/>
  <c r="M14" i="1"/>
  <c r="N14" i="1" s="1"/>
  <c r="L14" i="1"/>
  <c r="K14" i="1"/>
  <c r="J14" i="1"/>
  <c r="H14" i="1"/>
  <c r="G14" i="1"/>
  <c r="F14" i="1"/>
  <c r="E14" i="1"/>
  <c r="C14" i="1"/>
  <c r="D2" i="6"/>
  <c r="I7" i="6" s="1"/>
  <c r="C22" i="6"/>
  <c r="C23" i="6"/>
  <c r="C30" i="6"/>
  <c r="C31" i="6"/>
  <c r="C21" i="1"/>
  <c r="C22" i="1"/>
  <c r="C29" i="1"/>
  <c r="C30" i="1"/>
  <c r="F14" i="6"/>
  <c r="K15" i="6"/>
  <c r="W16" i="6"/>
  <c r="F18" i="6"/>
  <c r="J19" i="6"/>
  <c r="R20" i="6"/>
  <c r="C13" i="6"/>
  <c r="G14" i="6"/>
  <c r="L15" i="6"/>
  <c r="C17" i="6"/>
  <c r="I14" i="6"/>
  <c r="M15" i="6"/>
  <c r="I18" i="6"/>
  <c r="L19" i="6"/>
  <c r="C21" i="6"/>
  <c r="E25" i="6"/>
  <c r="J26" i="6"/>
  <c r="R27" i="6"/>
  <c r="E29" i="6"/>
  <c r="W17" i="6"/>
  <c r="K19" i="6"/>
  <c r="M27" i="6"/>
  <c r="E13" i="6"/>
  <c r="J14" i="6"/>
  <c r="R15" i="6"/>
  <c r="E17" i="6"/>
  <c r="J18" i="6"/>
  <c r="M19" i="6"/>
  <c r="F25" i="6"/>
  <c r="K26" i="6"/>
  <c r="W27" i="6"/>
  <c r="F29" i="6"/>
  <c r="E19" i="6"/>
  <c r="W20" i="6"/>
  <c r="F13" i="6"/>
  <c r="K14" i="6"/>
  <c r="W15" i="6"/>
  <c r="F17" i="6"/>
  <c r="K18" i="6"/>
  <c r="R19" i="6"/>
  <c r="E21" i="6"/>
  <c r="G25" i="6"/>
  <c r="L26" i="6"/>
  <c r="C28" i="6"/>
  <c r="G29" i="6"/>
  <c r="C26" i="6"/>
  <c r="L28" i="6"/>
  <c r="G13" i="6"/>
  <c r="L14" i="6"/>
  <c r="C16" i="6"/>
  <c r="G17" i="6"/>
  <c r="L18" i="6"/>
  <c r="W19" i="6"/>
  <c r="F21" i="6"/>
  <c r="I25" i="6"/>
  <c r="M26" i="6"/>
  <c r="I29" i="6"/>
  <c r="K16" i="6"/>
  <c r="I13" i="6"/>
  <c r="M14" i="6"/>
  <c r="I17" i="6"/>
  <c r="M18" i="6"/>
  <c r="C20" i="6"/>
  <c r="G21" i="6"/>
  <c r="J25" i="6"/>
  <c r="R26" i="6"/>
  <c r="E28" i="6"/>
  <c r="J29" i="6"/>
  <c r="G28" i="6"/>
  <c r="L29" i="6"/>
  <c r="R21" i="6"/>
  <c r="C25" i="6"/>
  <c r="J13" i="6"/>
  <c r="R14" i="6"/>
  <c r="E16" i="6"/>
  <c r="J17" i="6"/>
  <c r="R18" i="6"/>
  <c r="I21" i="6"/>
  <c r="K25" i="6"/>
  <c r="W26" i="6"/>
  <c r="F28" i="6"/>
  <c r="K29" i="6"/>
  <c r="K13" i="6"/>
  <c r="W14" i="6"/>
  <c r="F16" i="6"/>
  <c r="K17" i="6"/>
  <c r="E20" i="6"/>
  <c r="J21" i="6"/>
  <c r="L25" i="6"/>
  <c r="C27" i="6"/>
  <c r="C29" i="6"/>
  <c r="L13" i="6"/>
  <c r="C15" i="6"/>
  <c r="G16" i="6"/>
  <c r="L17" i="6"/>
  <c r="W18" i="6"/>
  <c r="F20" i="6"/>
  <c r="K21" i="6"/>
  <c r="M25" i="6"/>
  <c r="I28" i="6"/>
  <c r="M29" i="6"/>
  <c r="W13" i="6"/>
  <c r="G18" i="6"/>
  <c r="M13" i="6"/>
  <c r="I16" i="6"/>
  <c r="M17" i="6"/>
  <c r="C19" i="6"/>
  <c r="G20" i="6"/>
  <c r="L21" i="6"/>
  <c r="R25" i="6"/>
  <c r="E27" i="6"/>
  <c r="J28" i="6"/>
  <c r="R29" i="6"/>
  <c r="F15" i="6"/>
  <c r="G26" i="6"/>
  <c r="R13" i="6"/>
  <c r="E15" i="6"/>
  <c r="J16" i="6"/>
  <c r="R17" i="6"/>
  <c r="I20" i="6"/>
  <c r="M21" i="6"/>
  <c r="W25" i="6"/>
  <c r="F27" i="6"/>
  <c r="K28" i="6"/>
  <c r="W29" i="6"/>
  <c r="J20" i="6"/>
  <c r="G27" i="6"/>
  <c r="L27" i="6"/>
  <c r="I26" i="6"/>
  <c r="C14" i="6"/>
  <c r="G15" i="6"/>
  <c r="L16" i="6"/>
  <c r="C18" i="6"/>
  <c r="F19" i="6"/>
  <c r="K20" i="6"/>
  <c r="W21" i="6"/>
  <c r="I27" i="6"/>
  <c r="M28" i="6"/>
  <c r="J15" i="6"/>
  <c r="I15" i="6"/>
  <c r="M16" i="6"/>
  <c r="G19" i="6"/>
  <c r="L20" i="6"/>
  <c r="E26" i="6"/>
  <c r="J27" i="6"/>
  <c r="R28" i="6"/>
  <c r="E14" i="6"/>
  <c r="R16" i="6"/>
  <c r="E18" i="6"/>
  <c r="I19" i="6"/>
  <c r="M20" i="6"/>
  <c r="F26" i="6"/>
  <c r="K27" i="6"/>
  <c r="W28" i="6"/>
  <c r="I8" i="1" l="1"/>
  <c r="U26" i="6"/>
  <c r="U19" i="6"/>
  <c r="O16" i="1"/>
  <c r="U27" i="6"/>
  <c r="R22" i="6"/>
  <c r="U15" i="6"/>
  <c r="R30" i="6"/>
  <c r="U20" i="6"/>
  <c r="N13" i="6"/>
  <c r="N23" i="6" s="1" a="1"/>
  <c r="N23" i="6" s="1"/>
  <c r="O24" i="1"/>
  <c r="U16" i="6"/>
  <c r="U28" i="6"/>
  <c r="S29" i="1"/>
  <c r="O17" i="1"/>
  <c r="U21" i="6"/>
  <c r="U17" i="6"/>
  <c r="U13" i="6"/>
  <c r="U29" i="6"/>
  <c r="U25" i="6"/>
  <c r="U18" i="6"/>
  <c r="U14" i="6"/>
  <c r="H21" i="6"/>
  <c r="S21" i="6" s="1"/>
  <c r="O20" i="6"/>
  <c r="Q28" i="6"/>
  <c r="T17" i="1"/>
  <c r="O13" i="6"/>
  <c r="O23" i="6" s="1" a="1"/>
  <c r="O23" i="6" s="1"/>
  <c r="C11" i="1"/>
  <c r="O25" i="6"/>
  <c r="O30" i="6" s="1"/>
  <c r="O21" i="6"/>
  <c r="N21" i="6"/>
  <c r="N27" i="6"/>
  <c r="Q18" i="6"/>
  <c r="D8" i="1"/>
  <c r="N29" i="6"/>
  <c r="H28" i="6"/>
  <c r="S28" i="6" s="1"/>
  <c r="P13" i="6"/>
  <c r="P22" i="6" s="1"/>
  <c r="T18" i="1"/>
  <c r="N17" i="6"/>
  <c r="O29" i="6"/>
  <c r="N26" i="6"/>
  <c r="N19" i="6"/>
  <c r="T24" i="1"/>
  <c r="H18" i="6"/>
  <c r="S18" i="6" s="1"/>
  <c r="H20" i="6"/>
  <c r="S20" i="6" s="1"/>
  <c r="H16" i="6"/>
  <c r="S16" i="6" s="1"/>
  <c r="T16" i="1"/>
  <c r="H25" i="6"/>
  <c r="S25" i="6" s="1"/>
  <c r="S31" i="6" s="1" a="1"/>
  <c r="S31" i="6" s="1"/>
  <c r="O17" i="6"/>
  <c r="O27" i="1"/>
  <c r="H26" i="6"/>
  <c r="S26" i="6" s="1"/>
  <c r="N18" i="6"/>
  <c r="O16" i="6"/>
  <c r="O28" i="1"/>
  <c r="O18" i="1"/>
  <c r="O27" i="6"/>
  <c r="N14" i="6"/>
  <c r="R23" i="6" a="1"/>
  <c r="R23" i="6" s="1"/>
  <c r="O19" i="1"/>
  <c r="R33" i="6" a="1"/>
  <c r="R33" i="6" s="1"/>
  <c r="H27" i="6"/>
  <c r="S27" i="6" s="1"/>
  <c r="O14" i="1"/>
  <c r="Q25" i="6"/>
  <c r="Q30" i="6" s="1"/>
  <c r="H13" i="6"/>
  <c r="S13" i="6" s="1"/>
  <c r="P25" i="6"/>
  <c r="P30" i="6" s="1"/>
  <c r="O15" i="6"/>
  <c r="O15" i="1"/>
  <c r="N20" i="6"/>
  <c r="H19" i="6"/>
  <c r="S19" i="6" s="1"/>
  <c r="D7" i="6"/>
  <c r="O25" i="1"/>
  <c r="N25" i="6"/>
  <c r="N30" i="6" s="1"/>
  <c r="N28" i="6"/>
  <c r="Q29" i="6"/>
  <c r="H17" i="6"/>
  <c r="S17" i="6" s="1"/>
  <c r="T25" i="1"/>
  <c r="S32" i="1" a="1"/>
  <c r="S32" i="1" s="1"/>
  <c r="Q13" i="6"/>
  <c r="Q22" i="6" s="1"/>
  <c r="T19" i="1"/>
  <c r="T28" i="1"/>
  <c r="O20" i="1"/>
  <c r="R32" i="6" a="1"/>
  <c r="R32" i="6" s="1"/>
  <c r="R31" i="6" a="1"/>
  <c r="R31" i="6" s="1"/>
  <c r="H29" i="6"/>
  <c r="S29" i="6" s="1"/>
  <c r="P18" i="6"/>
  <c r="Q17" i="6"/>
  <c r="Q16" i="6"/>
  <c r="N15" i="6"/>
  <c r="O14" i="6"/>
  <c r="Q26" i="6"/>
  <c r="P17" i="6"/>
  <c r="P16" i="6"/>
  <c r="Q21" i="6"/>
  <c r="H14" i="6"/>
  <c r="S14" i="6" s="1"/>
  <c r="P21" i="6"/>
  <c r="T27" i="1"/>
  <c r="O28" i="6"/>
  <c r="O26" i="6"/>
  <c r="T20" i="1"/>
  <c r="O26" i="1"/>
  <c r="O29" i="1" s="1"/>
  <c r="S21" i="1"/>
  <c r="T14" i="1"/>
  <c r="O19" i="6"/>
  <c r="O18" i="6"/>
  <c r="N16" i="6"/>
  <c r="H15" i="6"/>
  <c r="S15" i="6" s="1"/>
  <c r="N22" i="6"/>
  <c r="S31" i="1" a="1"/>
  <c r="S31" i="1" s="1"/>
  <c r="P29" i="6"/>
  <c r="S30" i="1" a="1"/>
  <c r="S30" i="1" s="1"/>
  <c r="S22" i="1" a="1"/>
  <c r="S22" i="1" s="1"/>
  <c r="P28" i="6"/>
  <c r="T15" i="1"/>
  <c r="T26" i="1"/>
  <c r="Q15" i="6"/>
  <c r="Q27" i="6"/>
  <c r="Q20" i="6"/>
  <c r="P15" i="6"/>
  <c r="P27" i="6"/>
  <c r="P20" i="6"/>
  <c r="Q14" i="6"/>
  <c r="Q19" i="6"/>
  <c r="P14" i="6"/>
  <c r="P26" i="6"/>
  <c r="P19" i="6"/>
  <c r="C10" i="6"/>
  <c r="I14" i="1"/>
  <c r="I15" i="1"/>
  <c r="I16" i="1"/>
  <c r="I17" i="1"/>
  <c r="I18" i="1"/>
  <c r="I19" i="1"/>
  <c r="I20" i="1"/>
  <c r="I24" i="1"/>
  <c r="I25" i="1"/>
  <c r="I26" i="1"/>
  <c r="I27" i="1"/>
  <c r="I28" i="1"/>
  <c r="D14" i="1"/>
  <c r="D15" i="1"/>
  <c r="D16" i="1"/>
  <c r="D17" i="1"/>
  <c r="D18" i="1"/>
  <c r="D19" i="1"/>
  <c r="D20" i="1"/>
  <c r="D24" i="1"/>
  <c r="D25" i="1"/>
  <c r="D26" i="1"/>
  <c r="D27" i="1"/>
  <c r="D28" i="1"/>
  <c r="D25" i="6"/>
  <c r="D18" i="6"/>
  <c r="D14" i="6"/>
  <c r="D26" i="6"/>
  <c r="D19" i="6"/>
  <c r="D29" i="6"/>
  <c r="D15" i="6"/>
  <c r="D27" i="6"/>
  <c r="D20" i="6"/>
  <c r="D16" i="6"/>
  <c r="D28" i="6"/>
  <c r="D21" i="6"/>
  <c r="D17" i="6"/>
  <c r="D13" i="6"/>
  <c r="T21" i="1" l="1"/>
  <c r="Q28" i="1"/>
  <c r="P28" i="1"/>
  <c r="Q27" i="1"/>
  <c r="P27" i="1"/>
  <c r="Q26" i="1"/>
  <c r="P26" i="1"/>
  <c r="P25" i="1"/>
  <c r="Q25" i="1"/>
  <c r="P24" i="1"/>
  <c r="Q24" i="1"/>
  <c r="P20" i="1"/>
  <c r="Q20" i="1"/>
  <c r="Q19" i="1"/>
  <c r="P19" i="1"/>
  <c r="Q18" i="1"/>
  <c r="Q32" i="1" s="1" a="1"/>
  <c r="Q32" i="1" s="1"/>
  <c r="P18" i="1"/>
  <c r="Q17" i="1"/>
  <c r="P17" i="1"/>
  <c r="P16" i="1"/>
  <c r="Q16" i="1"/>
  <c r="P15" i="1"/>
  <c r="Q15" i="1"/>
  <c r="Q14" i="1"/>
  <c r="P14" i="1"/>
  <c r="O30" i="1" a="1"/>
  <c r="O30" i="1" s="1"/>
  <c r="O21" i="1"/>
  <c r="T29" i="1"/>
  <c r="O31" i="6" a="1"/>
  <c r="O31" i="6" s="1"/>
  <c r="O22" i="1" a="1"/>
  <c r="O22" i="1" s="1"/>
  <c r="P31" i="6" a="1"/>
  <c r="P31" i="6" s="1"/>
  <c r="R27" i="1"/>
  <c r="R24" i="1"/>
  <c r="R18" i="1"/>
  <c r="R19" i="1"/>
  <c r="R26" i="1"/>
  <c r="R17" i="1"/>
  <c r="R20" i="1"/>
  <c r="R14" i="1"/>
  <c r="R25" i="1"/>
  <c r="R28" i="1"/>
  <c r="R15" i="1"/>
  <c r="R16" i="1"/>
  <c r="O22" i="6"/>
  <c r="N31" i="6" a="1"/>
  <c r="N31" i="6" s="1"/>
  <c r="S30" i="6"/>
  <c r="O33" i="6" a="1"/>
  <c r="O33" i="6" s="1"/>
  <c r="P23" i="6" a="1"/>
  <c r="P23" i="6" s="1"/>
  <c r="N33" i="6" a="1"/>
  <c r="N33" i="6" s="1"/>
  <c r="T22" i="1" a="1"/>
  <c r="T22" i="1" s="1"/>
  <c r="S33" i="6" a="1"/>
  <c r="S33" i="6" s="1"/>
  <c r="T30" i="1" a="1"/>
  <c r="T30" i="1" s="1"/>
  <c r="S23" i="6" a="1"/>
  <c r="S23" i="6" s="1"/>
  <c r="S22" i="6"/>
  <c r="O32" i="6" a="1"/>
  <c r="O32" i="6" s="1"/>
  <c r="S32" i="6" a="1"/>
  <c r="S32" i="6" s="1"/>
  <c r="N32" i="6" a="1"/>
  <c r="N32" i="6" s="1"/>
  <c r="O31" i="1" a="1"/>
  <c r="O31" i="1" s="1"/>
  <c r="Q31" i="6" a="1"/>
  <c r="Q31" i="6" s="1"/>
  <c r="O32" i="1" a="1"/>
  <c r="O32" i="1" s="1"/>
  <c r="Q23" i="6" a="1"/>
  <c r="Q23" i="6" s="1"/>
  <c r="Q32" i="6" a="1"/>
  <c r="Q32" i="6" s="1"/>
  <c r="P32" i="6" a="1"/>
  <c r="P32" i="6" s="1"/>
  <c r="Q33" i="6" a="1"/>
  <c r="Q33" i="6" s="1"/>
  <c r="T32" i="1" a="1"/>
  <c r="T32" i="1" s="1"/>
  <c r="T31" i="1" a="1"/>
  <c r="T31" i="1" s="1"/>
  <c r="P33" i="6" a="1"/>
  <c r="P33" i="6" s="1"/>
  <c r="P29" i="1" l="1"/>
  <c r="P31" i="1" a="1"/>
  <c r="P31" i="1" s="1"/>
  <c r="P32" i="1" a="1"/>
  <c r="P32" i="1" s="1"/>
  <c r="P30" i="1" a="1"/>
  <c r="P30" i="1" s="1"/>
  <c r="R29" i="1"/>
  <c r="Q22" i="1" a="1"/>
  <c r="Q22" i="1" s="1"/>
  <c r="Q21" i="1"/>
  <c r="Q31" i="1" a="1"/>
  <c r="Q31" i="1" s="1"/>
  <c r="R30" i="1" a="1"/>
  <c r="R30" i="1" s="1"/>
  <c r="P21" i="1"/>
  <c r="R32" i="1" a="1"/>
  <c r="R32" i="1" s="1"/>
  <c r="Q29" i="1"/>
  <c r="P22" i="1" a="1"/>
  <c r="P22" i="1" s="1"/>
  <c r="Q30" i="1" a="1"/>
  <c r="Q30" i="1" s="1"/>
  <c r="R21" i="1"/>
  <c r="R31" i="1" a="1"/>
  <c r="R31" i="1" s="1"/>
  <c r="R22" i="1" a="1"/>
  <c r="R2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<sst xmlns="http://schemas.openxmlformats.org/spreadsheetml/2006/main" count="146" uniqueCount="78">
  <si>
    <t>Comparable Companies Analysis</t>
  </si>
  <si>
    <t>Company</t>
  </si>
  <si>
    <t>Net Debt</t>
  </si>
  <si>
    <t>Enterprise Value</t>
  </si>
  <si>
    <t>LTM Revenue</t>
  </si>
  <si>
    <t>LTM EBITDA</t>
  </si>
  <si>
    <t>EBITDA Margin %</t>
  </si>
  <si>
    <t>EV/ Revenue</t>
  </si>
  <si>
    <t>EV/ LTM EBITDA</t>
  </si>
  <si>
    <t>EV/ NTM EBITDA</t>
  </si>
  <si>
    <t>Price to Book</t>
  </si>
  <si>
    <t>Net Debt/ EBITDA</t>
  </si>
  <si>
    <t>Date</t>
  </si>
  <si>
    <t>Market Cap</t>
  </si>
  <si>
    <t>SP_MARKETCAP</t>
  </si>
  <si>
    <t>IQ_NET_DEBT</t>
  </si>
  <si>
    <t>IQ_TEV</t>
  </si>
  <si>
    <t>SP_COMPANY_NAME</t>
  </si>
  <si>
    <t>Formula</t>
  </si>
  <si>
    <t>Other</t>
  </si>
  <si>
    <t>IQ_TOTAL_REV</t>
  </si>
  <si>
    <t>NTM Revenue</t>
  </si>
  <si>
    <t>LTM</t>
  </si>
  <si>
    <t>NTM</t>
  </si>
  <si>
    <t>SP_REV_EST</t>
  </si>
  <si>
    <t>NTM EBITDA</t>
  </si>
  <si>
    <t>SP_EBITDA_EST</t>
  </si>
  <si>
    <t>NYSE:PRIM</t>
  </si>
  <si>
    <t>Options: Curr=CAD</t>
  </si>
  <si>
    <t>FQ0</t>
  </si>
  <si>
    <t>IQ_EBITDA_EQ_INC</t>
  </si>
  <si>
    <t>Lease 
Adj.</t>
  </si>
  <si>
    <t>IQ_LEASE_ADJUSTMENT_EBITDA</t>
  </si>
  <si>
    <t>IQ_TEV_EXCL_OPER_LEASES</t>
  </si>
  <si>
    <t>IQ_PBV_X</t>
  </si>
  <si>
    <t>IQ_NET_DEBT_EBITDA</t>
  </si>
  <si>
    <t>Total Debt</t>
  </si>
  <si>
    <t>IQ_TOTAL_DEBT</t>
  </si>
  <si>
    <t>IQ_CASH_ST_INVEST</t>
  </si>
  <si>
    <t>IQ_TOTAL_DEBT_EXCL_OPER_LEASES</t>
  </si>
  <si>
    <t>Nasdaq:NVEE</t>
  </si>
  <si>
    <t>NasdaqGM:WLDN</t>
  </si>
  <si>
    <t>IQ_EBITDA_EQ_INC_EXCL_OPER_LEASE_ADJ</t>
  </si>
  <si>
    <t>NYSE:PWR</t>
  </si>
  <si>
    <t>NYSE:MTZ</t>
  </si>
  <si>
    <t>NYSE:DY</t>
  </si>
  <si>
    <t>NasdaqGS:MYRG</t>
  </si>
  <si>
    <t>Infrastructure Services</t>
  </si>
  <si>
    <t>Overall Average</t>
  </si>
  <si>
    <t>Overall Median</t>
  </si>
  <si>
    <t>Lease Adjust NTM EBITDA?</t>
  </si>
  <si>
    <t>Leases US GAAP ONLY</t>
  </si>
  <si>
    <t>Cash and 
Equiv.</t>
  </si>
  <si>
    <t>IQ_TOTAL_OPER_LEASES</t>
  </si>
  <si>
    <t>Time Period</t>
  </si>
  <si>
    <t>Toggle</t>
  </si>
  <si>
    <t>Outliers</t>
  </si>
  <si>
    <t>If Yes is selected, TTM lease adjustment will be added to NTM EBITDA for US GAAP reporters as a proxy lease adj., as typically no adj. is made by analysts.</t>
  </si>
  <si>
    <t>Below w/ *</t>
  </si>
  <si>
    <t>Currency</t>
  </si>
  <si>
    <t>NYSE:ATKR</t>
  </si>
  <si>
    <t>NYSE:WMS</t>
  </si>
  <si>
    <t>NYSE:MWA</t>
  </si>
  <si>
    <t>TSX:RUS</t>
  </si>
  <si>
    <t>NYSE:LNN</t>
  </si>
  <si>
    <t>NASDAQGS:NWPX</t>
  </si>
  <si>
    <t>NASDAQGS:FSTR</t>
  </si>
  <si>
    <t>Construction</t>
  </si>
  <si>
    <t>Yes</t>
  </si>
  <si>
    <t>TSX:STN</t>
  </si>
  <si>
    <t>AwABTAVMT0NBTAFI/////wFQDgAAABdDSVEuTllTRTpQV1IuSVFfR0FBUF9CUwEAAADlggAAAwAAAAdVUyBHQUFQAK7e3/ma690IRSjj+Zrr3QgaQ0lRLk5BU0RBUTpOVkVFLklRX0dBQVBfQlMFAAAAAAAAAAgAAAAUKEludmFsaWQgSWRlbnRpZmllcimu3t/5muvdCEUo4/ma690IGENJUS5OWVNFOlBSSU0uSVFfR0FBUF9CUwEAAACco0AAAwAAAAdVUyBHQUFQAK7e3/ma690IRSjj+Zrr3QgWQ0lRLlRTWDpTVE4uSVFfR0FBUF9CUwEAAAC7bQ0AAwAAAARJRlJTAK7e3/ma690IRSjj+Zrr3QgcQ0lRLk5BU0RBUUdTOk5XUFguSVFfR0FBUF9CUwEAAAAimgUAAwAAAAdVUyBHQUFQAK7e3/ma690IRSjj+Zrr3QgcQ0lRLk5BU0RBUUdTOk1ZUkcuSVFfR0FBUF9CUwEAAACabQQAAwAAAAdVUyBHQUFQAK7e3/ma690IRSjj+Zrr3QgXQ0lRLk5ZU0U6TVRaLklRX0dBQVBfQlMBAAAAVJ4CAAMAAAAHVVMgR0FBUACu3t/5muvdCEUo4/ma690IF0NJUS5OWVNFOkxOTi5JUV9HQUFQX0JTAQAAAFhZBAADAAAAB1VTIEdBQVAArt7f+Zrr3QhFKOP5muvdCBxDSVEuTkFTREFRR006V0xETi5JUV9HQUFQX0JTAQAAAEIYQgADAAAAB1VTIEdBQVAArt7f+Zrr3QhFKOP5muvdCBhDSVEuTllTRTpBVEtSLklRX0dBQVBfQlMBAAAAzrORAQMAAAAHVVMgR0FBUACu3t/5muvdCEUo4/ma690IF0NJUS5OWVNFOldNUy5JUV9HQUFQ</t>
  </si>
  <si>
    <t>X0JTAQAAACNfAAADAAAAB1VTIEdBQVAArt7f+Zrr3QhFKOP5muvdCBZDSVEuVFNYOlJVUy5JUV9HQUFQX0JTAQAAAF/HBQADAAAABElGUlMArt7f+Zrr3QhFKOP5muvdCBxDSVEuTkFTREFRR1M6RlNUUi5JUV9HQUFQX0JTAQAAAC//AQADAAAAB1VTIEdBQVAArt7f+Zrr3QhFKOP5muvdCBdDSVEuTllTRTpNV0EuSVFfR0FBUF9CUwEAAADmw54AAwAAAAdVUyBHQUFQAK7e3/ma690IRSjj+Zrr3Qg=</t>
  </si>
  <si>
    <t>允䅁䱁䉁䅁十䅁䅁杔婂䙁䅍兒㙁䕁䄰睖䉂䅁䅁睱䅁䉁䄴䅁䩂䙁䅅睘䥂䕁䄸䅔䕂䕁䅕杕時䙁䅑兗兂䕁䅕䅁桁允䅁䅋䅁䍁䅍兓佂䙁䅙兑䵂䕁䅫䅒杁䕁䅍睔乂䙁䅁兑佂䙁䅫䅉䩂䕁䅑䅁䍁䅁䅁䅉䅁䕁䅅䅖呂䍁䅁睑療䡁䅉䅣療䡁䅉兙あ䝁䅫睢畂䅁䅁杔䅁䉁䅑䅁䩂䙁䅅䅏睁䑁䅍免穁䑁䅅䅍䅁䙁䈴䅁允䅁䅁村䕂䕁䄰杏䑂䕁䄰睔䅁䱁䅁䅁䍁䅁䅁䅁䅁䅁䅁䅋䅁䍁䅉睔睂䡁䅑兡療䝁䄴督㙁䍁䅁睑ㅂ䡁䅉杣㥁䕁䅍兑䕂䍁䅉䅁䩃䅁䅁䅃䅁䕁䅙兕睁䅁䅁兗䅁䕁䅙䅁䕂䕁䅫杕啂䙁䅑䅉䙂䝁䄴杤灂䡁䅉睢畂䝁䄰党畂䡁䅑兙獂䍁䅁睕療䝁䅷兤あ䝁䅫睢畂䡁䅍䅉䵂䡁䅑䅚畁䅁䅁杁䅅䉁䅁䅁佂䙁䅫睕䙂䑁䅯睔䑂䅁䅁兆䅁䑁䅙䅁䍂䝁䅅䅢獂䝁䅅杣歂䍁䅁䅕療䡁䅣党祂䍁䅁睕㕂䡁䅍䅤求䝁䄰督杁䕁䅫杢橂䍁䄴䅁乁允䅁䅆䄰䕁䅷杌䍂䍁䄴䅉䝂䝁䄸督あ䝁䅕杣杁䕁䅍睢瑂䡁䅁兙畂䡁䅫䅉睂䡁䅉睢㉂䝁䅫䅚求䡁䅍䅉求䝁䄴睚灂䝁䄴党求䡁䅉党歂䍁䅁兙畂䝁䅑䅉瑂䝁䅅杢ㅂ䝁䅙兙橂䡁䅑兤祂䝁䅕䅚杁䡁䅁杣療䝁䅑兤橂䡁䅑督杁䝁䅅杢歂䍁䅁督求䡁䅉杤灂䝁䅍党穂䍁䅁杚療䡁䅉䅉楂䡁䅕兡獂䝁䅑兡畂䝁䅣䅉桂䝁䄴䅚杁䡁䅍兤睂䡁䅁睢祂䡁䅑兡畂䝁䅣䅉灂䝁䄴杚祂䝁䅅督あ䡁䅉兤橂䡁䅑兤祂䝁䅕䅉灂䝁䄴䅉あ䝁䅧党杁䙁䅕杢灂䡁䅑党歂䍁䅁睕あ䝁䅅䅤求䡁䅍䅌杁䕁䅍兙畂䝁䅅䅚桂䍁䅷䅉あ䝁䅧党杁䙁䅕杢灂䡁䅑党歂䍁䅁睓灂䝁䄴睚歂䝁䄸兢獁䍁䅁兙畂䝁䅑䅉灂䝁䄴䅤求䡁䅉杢桂䡁䅑兡療䝁䄴兙獂䝁䅷入畁䍁䅁兓あ䍁䅁睢睂䝁䅕杣桂䡁䅑党穂䍁䅁兡畂䍁䅁䅤㍂䝁䄸䅉穂䝁䅕睚瑂䝁䅕杢あ䡁䅍䅌杁䙁䅉兙灂䝁䅷䅌杁䙁䅑党橂䝁䅧杢療䝁䅷睢湂䝁䅫党穂䍁䅷䅉桂䝁䄴䅚杁䙁䅍党祂䡁䅙兡橂䝁䅕督㝁䍁䅁兙畂䝁䅑䅉䩂䝁䄴杚祂䝁䅅督あ䡁䅉兤橂䡁䅑兤祂䝁䅕䅉呂䝁䄸䅢ㅂ䡁䅑兡療䝁䄴督畁䍁䅁䅖潂䝁䅕䅉卂䝁䅅兡獂䍁䅷䅉啂䝁䅕睙潂䝁䄴睢獂䝁䄸睚灂䝁䅕督獁䍁䅁兙畂䝁䅑䅉呂䝁䅕杣㉂䝁䅫睙求䡁䅍䅉穂䝁䅕睚瑂䝁䅕杢あ䍁䅁睢浂䝁䅙党祂䡁䅍䅉畂䝁䅕睤杁䡁䅉兙灂䝁䅷䅉あ䝁䄸䅉睂䝁䅅督穂䝁䅕杢湂䝁䅕杣杁䝁䅅杢歂䍁䅁督潂䝁䄸杣あ䍁䅁䅢灂䝁䄴党杁䝁䅙杣求䝁䅫睚潂䡁䅑䅉祂䝁䅅兡獂䡁䅉睢桂䝁䅑督獁䍁䅁兡畂䝁䅑兤穂䡁䅑杣灂䝁䅅䅢杁䝁䅍睢瑂䡁䅁兙畂䝁䅫党穂䍁䅷䅉桂䝁䄴䅚杁䡁䅉兙灂䝁䅷䅉橂䝁䄸杢あ䡁䅉兙橂䡁䅑睢祂䡁䅍䅌杁䝁䅅督杁䡁䅣党獂䝁䅷䅉桂䡁䅍䅉ㅂ䡁䅍党歂䍁䅁杣桂䝁䅫䅢穂䑁䅳䅉祂䝁䅅兡獂䍁䅁兙橂䝁䅍党穂䡁䅍睢祂䝁䅫党穂䍁䅷䅉穂䡁䅕睙潂䍁䅁兙穂䍁䅁䅤祂䝁䅅睙牂䍁䅁督睂䝁䅫睡求䡁䅍䅌杁䝁䅉睢獂䡁䅑督獁䍁䅁兙畂䝁䅣䅢求䍁䅁杙桂䡁䅉督獁䍁䅁䅤灂䝁䅕䅉睂䝁䅷兙あ䝁䅕督獁䍁䅁兙畂䝁䅑䅉療䡁䅑䅡求䡁䅉䅉睂䡁䅉睢歂䡁䅕睙あ䡁䅍睏杁䝁䅫杢穂䡁䅕䅢桂䡁䅑党歂䍁䅁杣桂䝁䅫䅢杁䝁䅯睢灂䝁䄴䅤穂䍁䅁兙畂䝁䅑䅉祂䝁䅕䅢桂䡁䅑党歂䍁䅁兙橂䝁䅍党穂䡁䅍睢祂䝁䅫党穂䑁䅳䅉浂䝁䅫䅥桂䡁䅑兡療䝁䄴䅉浂䝁䅅督あ䝁䅕杢求䡁䅉督獁䍁䅁睙療䡁䅙党祂䝁䅉睢桂䡁䅉䅚穂䍁䅷䅉桂䝁䄴䅚杁䡁䅍䅣求䝁䅍兡桂䝁䅷䅉桂䝁䅍睙求䡁䅍督療䡁䅉兡求䡁䅍睏杁䝁䅅杢歂䍁䅁䅤祂䝁䅅睙牂䡁䅣睢祂䝁䅳䅉睂䡁䅉睢歂䡁䅕睙あ䡁䅍杌杁䙁䅑䅡灂䡁䅍䅉穂䝁䅕睚瑂䝁䅕杢あ䍁䅁兙獂䡁䅍睢杁䡁䅁杣療䡁䅙兡歂䝁䅕督杁䝁䅕杢湂䝁䅫杢求䝁䅕杣求䝁䅑䅉橂䝁䄸杢橂䡁䅉党あ䝁䅕䅉祂䝁䅅兡獂䡁䅉睢桂䝁䅑䅉あ䝁䅫党穂䍁䅷䅉浂䡁䅉兡橂䡁䅑兡療䝁䄴䅉瑂䝁䅅杢桂䝁䅣党瑂䝁䅕杢あ䍁䅁䅣祂䝁䄸䅚ㅂ䝁䅍䅤穂䍁䅁兙畂䝁䅑䅉桂䡁䅁䅣獂䝁䅫睙桂䡁䅑兡療䝁䄴䅉穂䡁䅫督あ䝁䅕兢穂䍁䅷䅉祂䝁䅅兡獂䡁䅉睢桂䝁䅑䅉橂䝁䄸杢歂䝁䅫䅤灂䝁䄸杢杁䝁䄰睢畂䝁䅫䅤療䡁䅉兡畂䝁䅣䅉穂䡁䅫督あ䝁䅕兢穂䍁䅁兙畂䝁䅑䅉求䡁䅅兤灂䡁䅁兢求䝁䄴䅤獁䍁䅁兡畂䝁䅍䅢ㅂ䝁䅑兡畂䝁䅣䅉㍂䝁䅧党求䝁䅷䅉灂䝁䄰䅣桂䝁䅍䅤杁䝁䅷睢桂䝁䅑䅉歂䝁䅕䅤求䝁䅍䅤灂䝁䄸杢杁䡁䅍入穂䡁䅑党瑂䡁䅍䅌杁䡁䅣兙㕂䡁䅍兡歂䝁䅕䅉歂䝁䅅䅤桂䍁䅁睙療䝁䅷䅢求䝁䅍䅤灂䝁䄸杢杁䝁䅅杢歂䍁䅁兢桂䝁䄴兙湂䝁䅕兢求䝁䄴䅤杁䡁䅍入穂䡁䅑党瑂䡁䅍䅌杁䝁䅅杢歂䍁䅁杣療䝁䅍睡浂䝁䅅䅢獂䍁䅷䅉浂䝁䅷睢療䝁䅑䅌杁䝁䅕兙祂䡁䅑䅡㍂䝁䄸杣牂䡁䅍䅌杁䝁䅅杢歂䍁䅁杙祂䝁䅫䅚湂䝁䅕䅉穂䡁䅑杣灂䝁䅳党杁䝁䄰睢畂䝁䅫䅤療䡁䅉兡畂䝁䅣睏杁䝁䅅杢歂䍁䅁兙浂䡁䅑党祂䝁䄰兙祂䝁䅳党あ䍁䅁督求䡁䅉杤灂䝁䅍党穂䍁䄴䅉啂䝁䅧党杁䕁䅫杢浂䡁䅉兙穂䡁䅑杣ㅂ䝁䅍䅤ㅂ䡁䅉党杁䙁䅍睢獂䡁䅕䅤灂䝁䄸杢穂䍁䅁督求䝁䅣兢求䝁䄴䅤杁䝁䄰兙畂䡁䅕杚桂䝁䅍䅤ㅂ䡁䅉党穂䍁䅁䅣祂䝁䅕睙桂䡁䅍䅤杁䝁䅍睢畂䝁䅍杣求䡁䅑党杁䡁䅁杣療䝁䅑兤橂䡁䅑督杁䝁䅙睢祂䍁䅁兤穂䝁䅕䅉桂䡁䅍䅉祂䝁䅕督あ䡁䅉睢療䝁䄰督獁䍁䅁睙療䝁䄴睙求䡁䅍督灂䝁䄸杢杁䡁䅍䅤桂䝁䄴䅚穂䍁䅷䅉桂䝁䄴䅚杁䡁䅁杣療䡁䅑党橂䡁䅑兡㉂䝁䅕䅉穂䡁䅑睢祂䝁䅅睚求䍁䅁杙ㅂ䝁䅫䅢歂䝁䅫杢湂䡁䅍䅉ㅂ䝁䄴䅚求䡁䅉䅉あ䝁䅧党杁䕁䅍䅗啂䍁䅁杙祂䝁䅅杢歂䍁䅁杚療䡁䅉䅉畂䝁䅅䅤灂䝁䄸杢桂䝁䅷䅌杁䡁䅍䅤桂䡁䅑党獁䍁䅁兙畂䝁䅑䅉瑂䡁䅕杢灂䝁䅍兡睂䝁䅅䅢杁䡁䅁兙祂䝁䅳督㝁䍁䅁兙畂䝁䅑䅉瑂䝁䅅杢ㅂ䝁䅙兙橂䡁䅑兤祂䝁䅕督杁䡁䅍睢ㅂ䝁䄴䅚穂䍁䅁睤桂䝁䅷䅢穂䍁䅷䅉楂䡁䅉兡歂䝁䅣党杁䝁䅉党桂䝁䄰督獁䍁䅁杙療䡁䅧䅉橂䡁䅕䅢㉂䝁䅕杣あ䡁䅍䅌杁䡁䅍党睂䡁䅑兡橂䍁䅁䅤桂䝁䄴睡穂䍁䅷䅉桂䝁䄴䅚杁䝁䄸䅤潂䝁䅕杣杁䝁䅍兤穂䡁䅑睢瑂䍁䅁䅣祂䝁䅕兌穂䡁䅑杣求䡁䅍督求䝁䅑䅉桂䝁䄴䅚杁䡁䅁杣求䝁䅍兙穂䡁䅑䅉橂䝁䄸杢橂䡁䅉党あ䝁䅕䅉睂䡁䅉睢歂䡁䅕睙あ䡁䅍杌杁䙁䅑䅡灂䡁䅍䅉穂䝁䅕睚瑂䝁䅕杢あ䍁䅁兙獂䡁䅍睢杁䡁䅁杣療䡁䅙兡歂䝁䅕督杁䡁䅍䅤求䝁䅕䅢杁䝁䅉杣灂䝁䅑睚求䍁䅁䅣祂䝁䄸䅚ㅂ䝁䅍䅤穂䑁䅳䅉橂䝁䄸杣祂䝁䄸督灂䝁䄸杢杁䡁䅁杣療䡁䅑党橂䡁䅑兡療䝁䄴䅉穂䝁䄸䅢ㅂ䡁䅑兡療䝁䄴督㝁䍁䅁睙ㅂ䡁䅑督獁䍁䅁䅤潂䡁䅉党桂䝁䅑督獁䍁䅁兙畂䝁䅑䅉睂䝁䅅兡畂䡁䅑督杁䡁䅁兡睂䝁䅕督㝁䍁䅁䅤潂䡁䅉党桂䝁䅑兡畂䝁䅣䅉穂䝁䅕杣㉂䝁䅫睙求䡁䅍䅉浂䝁䄸杣杁䝁䄸兡獂䍁䅁兙畂䝁䅑䅉湂䝁䅅督杁䡁䅁杣療䝁䅑兤橂䡁䅑兡療䝁䄴睏杁䝁䅅杢歂䍁䅁䅣祂䝁䄸䅤求䝁䅍䅤灂䡁䅙党杁䡁䅁兡睂䝁䅕䅢灂䝁䄴党杁䝁䅍睢桂䡁䅑兡畂䝁䅣䅉穂䝁䅕杣㉂䝁䅫睙求䡁䅍杌杁䕁䅷杌䍂䍁䄴䅉䝂䝁䄸督あ䝁䅕杣杁䕁䅍睢瑂䡁䅁兙畂䡁䅫䅉㍂䝁䅅督杁䝁䅙睢ㅂ䝁䄴䅚求䝁䅑䅉灂䝁䄴䅉硁䑁䅫䅍祁䍁䅁兙畂䝁䅑䅉灂䡁䅍䅉潂䝁䅕兙歂䡁䅅兤桂䡁䅉䅤求䡁䅉党歂䍁䅁兡畂䍁䅁䅕灂䡁䅑䅤穂䝁䅉兤祂䝁䅣䅡獁䍁䅁䅕求䝁䄴杢穂䡁䅫䅢㉂䝁䅅杢灂䝁䅅杌䅁䩁䉫䅁睁䅁䅁兑あ䝁䅳兡畂䡁䅍杕灄䝁䅅䅢灂䡁䅍䅉䡂䡁䅉睢ㅂ䡁䅁䅉䩂䝁䄴睙畁䅁䅁䅥䅁䉁䡯䅁䝂䝁䅫杣桂䝁䄴䅉啂䝁䅕睙潂䝁䄴睢獂䝁䄸睚㕂䍁䅁睒祂䝁䄸兤睂䍁䅁睑療䡁䅉䅣療䡁䅉兙あ䝁䅫睢畂䍁䅁兢桂䝁䄴兤浂䝁䅅睙あ䡁䅕杣求䡁䅍䅉桂䝁䄴䅚杁䡁䅍党獂䝁䅷督杁䝁䅅党祂䝁䄸督睂䝁䅅睙求䍁䅁兙畂䝁䅑䅉歂䝁䅕杚求䝁䄴督求䍁䅁党獂䝁䅕睙あ䡁䅉睢畂䝁䅫睙杁䡁䅁杣療䝁䅑兤橂䡁䅑督杁䝁䅅杢歂䍁䅁督ㅂ䝁䅉督㕂䡁䅍䅤求䝁䄰督杁䝁䅫杢杁䕁䅍兙畂䝁䅅䅚桂䍁䅷䅉あ䝁䅧党杁䙁䅕杢灂䡁䅑党歂䍁䅁睕あ䝁䅅䅤求䡁䅍䅌杁䕁䅅督灂䝁䅅䅌杁䕁䅕兤祂䝁䄸䅣求䍁䅷䅉桂䝁䄴䅚杁䡁䅉党穂䡁䅑䅉療䝁䅙䅉䉂䝁䄰党祂䝁䅫睙桂䡁䅍杌杁䙁䅑䅡求䍁䅁睙療䝁䄰䅣桂䝁䄴入杁䝁䄸䅣求䡁䅉兙あ䝁䅕督杁䝁䅫杢杁䡁䅑睤療䍁䅁督求䝁䅣兢求䝁䄴䅤穂䍁䅷䅉䝂䙁䅑睒杁䕁䅍兡祂䝁䅍兤灂䡁䅑督杁䝁䅅杢歂䍁䅁杒啂䕁䅣䅉䉂䝁䅕杣療䡁䅍䅣桂䝁䅍党畁䍁䅁兓あ䍁䅁睢浂䝁䅙党祂䡁䅍䅉穂䝁䅕兢灂䍁䅁兙歂䝁䅑兡あ䝁䅫杤求䍁䅁䅣祂䝁䄸睙求䡁䅍督杁䡁䅑党橂䝁䅧杢療䝁䅷睢湂䝁䅫党穂䍁䅷䅉潂䝁䅫睚潂䍁䅁䅚求䝁䄴督灂䡁䅑入杁䝁䅫杢あ䝁䅕杣橂䝁䄸杢畂䝁䅕睙あ䍁䅁䅣祂䝁䄸䅚ㅂ䝁䅍䅤穂䍁䅷䅉潂䝁䅫睚潂䍁䅁䅤求䝁䄰䅣求䡁䅉兙あ䡁䅕杣求䍁䅁杣灂䝁䅣兡歂䍁䅁杚獂䝁䅕䅥杁䡁䅁杣灂䝁䄴䅤求䝁䅑䅌杁䙁䅉杒杁䝁䅉睢桂䡁䅉䅚穂䍁䅷䅉あ䝁䅧党祂䝁䄰兙獂䍁䅁兢桂䝁䄴兙湂䝁䅕兢求䝁䄴䅤獁䍁䅁兙畂䝁䅑䅉祂䝁䅫睚灂䝁䅑䅉浂䝁䅷党㑂䍁䅁兙畂䝁䅑䅉桂䡁䅍督求䝁䄰杙獂䡁䅫䅉睂䡁䅉睢歂䡁䅕睙あ䡁䅍杌杁䙁䅑䅡求䍁䅁睙療䝁䄰䅣桂䝁䄴入杁䝁䅅䅢穂䝁䄸䅉睂䡁䅉睢㉂䝁䅫䅚求䡁䅍䅉橂䝁䄸睙牂䡁䅁兡あ䍁䅁䅢灂䝁䅣䅡あ䝁䅫杢湂䍁䅁䅣療䡁䅣党祂䍁䅁督ㅂ䡁䅁䅣獂䡁䅫䅌杁䝁䅍兤祂䡁䅍睢祂䍁䄰睙療䝁䄴䅤祂䝁䄸䅢獂䝁䅕䅚杁䝁䅑党㉂䝁䅫睙求䍁䅷䅉灂䝁䄴䅤求䝁䅣杣桂䡁䅑党歂䍁䅁督㍂䝁䅫䅤橂䝁䅧䅉睂䝁䅅杢求䝁䅷睌牂䝁䅕入楂䝁䄸兙祂䝁䅑督癁䝁䅉党㙂䝁䅕䅢穂䍁䅷䅉楂䝁䅅睙牂䝁䅷兡あ䍁䅁睙療䝁䄴䅤祂䝁䄸䅢杁䡁䅁兙畂䝁䅕䅢穂䍁䅁兙畂䝁䅑䅉桂䡁䅍督求䝁䄰杙獂䝁䅫党穂䍁䅷䅉桂䝁䅕杣療䡁䅍䅣桂䝁䅍党杁䝁䅍䅡桂䡁䅍督灂䡁䅍䅉桂䝁䄴䅚杁䝁䅅督穂䝁䅕兢楂䝁䅷入獁䍁䅁兙畂䝁䅑䅉獂䝁䅫杢求䍁䅁杣求䡁䅁䅢桂䝁䅍党桂䝁䅉䅢求䍁䅁兤畂䝁䅫䅤癁䝁䅍睢橂䝁䅳䅣灂䡁䅑䅉桂䡁䅍督求䝁䄰杙獂䝁䅫党穂䍁䄴䅉啂䝁䅧党杁䝁䅍睢瑂䡁䅁兙畂䡁䅫䅉㍂䝁䅅督杁䝁䅙睢祂䝁䄰党祂䝁䅷入杁䝁䅳杢療䡁䅣杢杁䝁䅅督杁䕁䅍兡祂䝁䅍兤灂䡁䅑䅉塂䝁䄸杣獂䝁䅑䅉䑂䝁䄸杣睂䝁䄸杣桂䡁䅑兡療䝁䄴䅉桂䝁䄴䅚杁䝁䅍䅡桂䝁䄴睚求䝁䅑䅉灂䡁䅑督杁䝁䄴兙瑂䝁䅕䅉あ䝁䄸䅉䝂䝁䅫杣桂䝁䄴䅉啂䝁䅕睙潂䝁䄴睢獂䝁䄸睚㕂䍁䅁睒祂䝁䄸兤睂䍁䅁睑療䡁䅉䅣療䡁䅉兙あ䝁䅫睢畂䍁䅁兡畂䍁䅁兔桂䡁䅫䅉祁䑁䅁䅍ぁ䍁䄴䅉䝂䝁䅫杣桂䝁䄴䅉啂䝁䅕睙潂䝁䄴睢獂䝁䄸睚㕂䍁䅁睒祂䝁䄸兤睂䍁䅁睑療䡁䅉䅣療䡁䅉兙あ䝁䅫睢畂䍁䅁睤桂䡁䅍䅉浂䝁䄸兤畂䝁䅑党歂䍁䅁兡畂䍁䅁免㕁䑁䅧睍杁䝁䅅杢歂䍁䅁兡穂䍁䅁䅡求䝁䅅䅚硂䡁䅕兙祂䡁䅑党祂䝁䅕䅚杁䝁䅫杢杁䙁䅑睢祂䝁䄸杢あ䝁䄸䅌杁䕁䅍兙畂䝁䅅䅚桂䍁䄴䅁婄䅁䅁杏䅁䕁䄰兙祂䡁䅑兡畂䡁䅉党桂䍁䅁兓畂䡁䅑党祂䝁䄴兙あ䝁䅫睢畂䝁䅅䅢杁䕁䅫杢橂䍁䄴䅁摄䅁䅁䄶䅯䕁䅑入橂䝁䄸兢杁䕁䅫杢歂䡁䅕督あ䡁䅉兡求䡁䅍䅌杁䕁䅫杢橂䍁䄴䅉睂䡁䅉睢㉂䝁䅫䅚求䡁䅍䅉穂䡁䅁党橂䝁䅫兙獂䡁䅑入杁䝁䅍睢畂䡁䅑杣桂䝁䅍䅤灂䝁䄴睚杁䡁䅍党祂䡁䅙兡橂䝁䅕督杁䡁䅑睢杁䡁䅑䅡求䍁䅁䅤求䝁䅷党橂䝁䄸兢瑂䡁䅕杢灂䝁䅍兙あ䝁䅫睢畂䡁䅍䅉灂䝁䄴杚祂䝁䅅督あ䡁䅉兤橂䡁䅑兤祂䝁䅕䅉桂䝁䄴䅚杁䡁䅕䅤灂䝁䅷兡あ䡁䅫䅉灂䝁䄴䅚ㅂ䡁䅍䅤祂䝁䅫党穂䍁䅁兡畂䍁䅁䅤潂䝁䅕䅉噂䝁䄴兡あ䝁䅕䅚杁䙁䅍䅤桂䡁䅑党穂䍁䄴䅉啂䝁䅧党杁䝁䅍睢瑂䡁䅁兙畂䡁䅫䅉療䝁䅙杚求䡁䅉督杁䝁䅕杢湂䝁䅫杢求䝁䅕杣灂䝁䄴睚杁䡁䅍党祂䡁䅙兡橂䝁䅕督杁䡁䅑睢杁䡁䅑党獂䝁䅕睙療䝁䄰兢ㅂ䝁䄴兡橂䝁䅅䅤灂䝁䄸杢穂䍁䅁䅣祂䝁䄸杤灂䝁䅑党祂䡁䅍䅌杁䝁䅫杢橂䝁䅷兤歂䝁䅫杢湂䍁䅁䅤潂䝁䅕䅉睂䝁䅷兙畂䝁䄴兡畂䝁䅣䅉桂䝁䄴䅚杁䝁䅑党穂䝁䅫睚畂䍁䅁睢浂䍁䅁兙求䡁䅉兡桂䝁䅷䅌杁䡁䅕杢歂䝁䅕杣湂䡁䅉睢ㅂ䝁䄴䅚獁䍁䅁兙畂䝁䅑䅉楂䡁䅕杣灂䝁䅕䅚杁䝁䅙兡楂䝁䅕杣杁䝁䄸䅣あ䝁䅫睙獁䍁䅁睙療䡁䅁䅣求䡁䅉䅌杁䝁䅅杢歂䍁䅁睙療䝁䅅䅥灂䝁䅅䅢杁䝁䅍兙楂䝁䅷党杁䡁䅍入穂䡁䅑党瑂䡁䅍睏杁䡁䅣兡祂䝁䅕䅢求䡁䅍督杁䝁䄴党あ䡁䅣睢祂䝁䅳督杁䝁䅫杢杁䝁䅍睢畂䝁䄴党橂䡁䅑兡療䝁䄴䅉㍂䝁䅫䅤潂䍁䅁䅤潂䝁䅕䅉歂䝁䅕䅣獂䝁䄸入瑂䝁䅕杢あ䍁䅁睢浂䍁䅁兢桂䝁䅍杣療䍁䅁睙求䝁䅷䅢杁䝁䅅杢歂䍁䅁杢求䡁䅣䅉穂䝁䄰兙獂䝁䅷䅉橂䝁䅕䅢獂䍁䅁督灂䡁䅑党穂䑁䅳䅉桂䝁䄴䅚杁䡁䅁杣療䝁䅣杣桂䝁䄰䅉桂䝁䄴䅚杁䡁䅁杣療䝁䅯党橂䡁䅑䅉瑂䝁䅅杢桂䝁䅣党瑂䝁䅕杢あ䍁䅁兙畂䝁䅑䅉灂䝁䄴督睂䝁䅕睙あ䝁䅫睢畂䍁䅁䅣求䡁䅉督療䝁䄴杢求䝁䅷杌杁䕁䅫䅤杁䝁䅅䅢穂䝁䄸䅉睂䡁䅉睢㉂䝁䅫䅚求䡁䅍䅉橂䝁䄸杢穂䡁䅑杣ㅂ䝁䅍䅤灂䝁䄸杢獁䍁䅁兢桂䝁䅫杢あ䝁䅕杢桂䝁䄴睙求䍁䅷䅉桂䝁䄴䅚杁䝁䅫杢穂䡁䅑兙獂䝁䅷兙あ䝁䅫睢畂䍁䅁督求䡁䅉杤灂䝁䅍党穂䍁䅁杚療䡁䅉䅉あ䝁䅕䅢求䡁䅁䅡療䝁䄴党杁䝁䅍睢瑂䡁䅁兙畂䝁䅫党穂䍁䅁兙畂䝁䅑䅉橂䝁䅅杙獂䝁䅕䅉瑂䡁䅕䅢あ䝁䅫䅣獂䝁䅕䅉穂䡁䅫督あ䝁䅕兢杁䝁䄸䅣求䡁䅉兙あ䝁䄸杣穂䍁䅷䅉穂䡁䅕睙潂䍁䅁兙穂䍁䅁䅣獂䝁䅅睙求䝁䄰党畂䡁䅑䅉桂䝁䄴䅚杁䡁䅍䅣獂䝁䅫睙灂䝁䄴睚杁䝁䄸杚杁䝁䅍睢睂䡁䅁党祂䍁䅷䅉浂䝁䅫杙求䡁䅉䅌杁䝁䅅杢歂䍁䅁睙療䝁䅅䅥灂䝁䅅䅢杁䝁䅍兙楂䝁䅷党穂䑁䅳䅉あ䝁䄸睤求䡁䅉䅉橂䝁䄸杢穂䡁䅑杣ㅂ䝁䅍䅤灂䝁䄸杢獁䍁䅁䅢灂䝁䄴党穂䍁䅁兙畂䝁䅑䅉桂䝁䄴䅤求䝁䄴杢桂䍁䅁兡畂䡁䅍䅤桂䝁䅷䅢桂䡁䅑兡療䝁䄴䅌杁䝁䅙睢ㅂ䝁䄴䅚桂䡁䅑兡療䝁䄴䅉桂䝁䄴䅚杁䝁䅕兣ㅂ䝁䅫䅣瑂䝁䅕杢あ䍁䅁䅣桂䝁䅑䅉橂䝁䄸杢穂䡁䅑杣ㅂ䝁䅍䅤灂䝁䄸杢獁䍁䅁兙畂䝁䅑䅉穂䝁䄰兙獂䝁䅷䅉橂䝁䅕䅢獂䍁䅁督灂䡁䅑党杁䡁䅁䅢桂䝁䅍党瑂䝁䅕杢あ䍁䅁杚療䡁䅉䅉㍂䝁䅫杣求䝁䅷党穂䡁䅍䅉橂䝁䅅杣祂䝁䅫党祂䡁䅍䅌杁䝁䅅督杁䡁䅣党獂䝁䅷䅉桂䡁䅍䅉求䡁䅅兤灂䡁䅁兢求䝁䄴䅤杁䝁䅫杢穂䡁䅑兙獂䝁䅷兙あ䝁䅫睢畂䍁䅁兙畂䝁䅑䅉瑂䝁䅅䅤求䡁䅉兡桂䝁䅷䅉浂䝁䅅杙祂䝁䅫睙桂䡁䅑兡療䝁䄴䅌杁䝁䅅杢歂䍁䅁督灂䡁䅑党杁䡁䅑党穂䡁䅑兡畂䝁䅣䅉穂䝁䅕杣㉂䝁䅫睙求䡁䅍睏杁䡁䅕杢歂䝁䅕杣湂䡁䅉睢ㅂ䝁䄴䅚杁䝁䅙兙橂䝁䅫䅢灂䡁䅑入杁䝁䅷睢橂䝁䅅䅤灂䝁䄴睚杁䡁䅍党祂䡁䅙兡橂䝁䅕督杁䝁䅍睢瑂䡁䅁杣灂䡁䅍兡畂䝁䅣䅉獂䝁䄸睙桂䡁䅑兡畂䝁䅣䅉あ䝁䅕䅢求䡁䅁䅡療䝁䄴党獁䍁䅁睙桂䝁䅉䅢求䍁䅁䅤求䝁䅷党㉂䝁䅫督灂䝁䄸杢獁䍁䅁䅣療䡁䅣党祂䍁䅷䅉㍂䝁䅅䅤求䡁䅉䅌杁䡁䅍党㍂䝁䅕杣獁䍁䅁兙畂䝁䅑䅉湂䝁䅅督杁䝁䅷兡畂䝁䅕督㝁䍁䅁兡畂䡁䅍䅤桂䝁䅷䅢桂䡁䅑兡療䝁䄴䅉桂䝁䄴䅚杁䝁䄰兙灂䝁䄴䅤求䝁䄴兙畂䝁䅍党杁䝁䄸杚杁䝁䅍兤穂䡁䅑睢瑂䝁䅕杣杁䡁䅁杣求䝁䄰兡穂䝁䅕䅉求䡁䅅兤灂䡁䅁兢求䝁䄴䅤獁䍁䅁兡畂䝁䅍䅢ㅂ䝁䅑兡畂䝁䅣䅉歂䝁䅫睚灂䡁䅑兙獂䍁䅁杤灂䝁䅑党療䍁䅁杣求䝁䅍睢祂䝁䅑党祂䡁䅍䅌杁䡁䅍党あ䍁䅁䅤療䡁䅁䅉楂䝁䄸䅥求䡁䅍䅌杁䝁䅅杢歂䍁䅁兢療䝁䅑党瑂䡁䅍䅉浂䝁䄸杣杁䝁䅍兙楂䝁䅷党杁䡁䅍入穂䡁䅑党瑂䍁䅁睢睂䝁䅕杣桂䡁䅑睢祂䡁䅍睏杁䝁䅅杢歂䍁䅁睙療䝁䄴督あ䡁䅉兤橂䡁䅑兡療䝁䄴䅉桂䝁䄴䅚杁䝁䄰兙灂䝁䄴䅤求䝁䄴兙畂䝁䅍党杁䡁䅍党祂䡁䅙兡橂䝁䅕督杁䝁䅙睢祂䍁䅁党獂䝁䅕睙あ䡁䅉兡橂䍁䅁兙畂䝁䅑䅉湂䝁䅅督杁䡁䅕䅤灂䝁䅷兡あ䝁䅫党穂䍁䅷䅉桂䝁䄴䅚杁䝁䄸䅤潂䝁䅕杣杁䝁䅍兤穂䡁䅑睢瑂䝁䅕杣穂䍁䄴䅉䕂䡁䅫睙療䝁䄰䅉䩂䝁䄴䅚ㅂ䡁䅍䅤祂䝁䅫党穂䍁䅷䅉䩂䝁䄴睙畁䍁䅁睤桂䡁䅍䅉灂䝁䄴睙療䡁䅉䅣療䡁䅉兙あ䝁䅕䅚杁䝁䅫杢杁䑁䅅兏㉁䑁䅫䅉桂䝁䄴䅚杁䝁䅫督杁䝁䅧党桂䝁䅑兣ㅂ䝁䅅杣あ䝁䅕杣求䝁䅑䅉灂䝁䄴䅉兂䝁䅅䅢瑂䍁䅁村求䝁䅅睙潂䍁䅁睒桂䡁䅉䅚求䝁䄴督獁䍁䅁杒獂䝁䄸杣灂䝁䅑兙畁䅁䅁睬䅁䅁䄴䅁橁䕁䅕杕卂䕁䄸杕䅁䩁䄴䅁奁睂䅁村卂䙁䅁䅉䩂䝁䄴睙畁䍁䅷䅉あ䝁䄸睚求䡁䅑䅡求䡁䅉䅉㍂䝁䅫䅤潂䍁䅁兡あ䡁䅍䅉穂䡁䅕杙穂䝁䅫䅚灂䝁䅅杣灂䝁䅕督獁䍁䅁䅚求䡁䅍兡湂䝁䄴督獁䍁䅁䅚求䡁䅙党獂䝁䄸䅣穂䍁䅷䅉瑂䝁䅅杢ㅂ䝁䅙兙橂䡁䅑兤祂䝁䅕督獁䍁䅁䅚灂䡁䅍䅤祂䝁䅫杙ㅂ䡁䅑党穂䍁䅷䅉桂䝁䄴䅚杁䝁䄰兙祂䝁䅳党あ䡁䅍䅉睂䝁䄸睤求䡁䅉督睂䝁䄸杣あ䡁䅍䅉㉂䝁䅕䅡灂䝁䅍䅢求䡁䅍䅉桂䝁䄴䅚杁䝁䄰兙祂䝁䅫杢求䍁䅁䅣祂䝁䄸䅚ㅂ䝁䅍䅤穂䍁䅁兡畂䍁䅁䅤潂䝁䅕䅉噂䝁䄴兡あ䝁䅕䅚杁䙁䅍䅤桂䡁䅑党穂䍁䅷䅉䑂䝁䅅杢桂䝁䅑兙獁䍁䅁兒ㅂ䡁䅉睢睂䝁䅕䅌杁䡁䅑䅡求䍁䅁兑穂䝁䅫兙杁䙁䅁兙橂䝁䅫杚灂䝁䅍䅌杁䕁䄰党㑂䝁䅫睙療䍁䅷䅉䉂䡁䅕督あ䡁䅉兡桂䍁䅷䅉桂䝁䄴䅚杁䝁䅫杢あ䝁䅕杣畂䝁䅅䅤灂䝁䄸杢桂䝁䅷䅢㕂䍁䄴䅉啂䝁䅧党杁䙁䅁睢㍂䝁䅕杣穂䡁䅁睢祂䡁䅑督杁䡁䅍党湂䝁䄰党畂䡁䅑䅉療䝁䅙杚求䡁䅉督杁䡁䅫党桂䡁䅉兌祂䝁䄸兤畂䝁䅑䅉睂䡁䅉睢歂䡁䅕睙あ䡁䅍䅌杁䡁䅍兤橂䝁䅧䅉桂䡁䅍䅉䑂䝁䅅杢瑁䕁䅅兢杁䝁䅅䅢獂䍁䄰䅤求䡁䅉杣桂䝁䅫杢杁䡁䅙党潂䝁䅫睙獂䝁䅕督獁䍁䅁督灂䝁䅑党瑁䝁䅉入瑁䡁䅍兡歂䝁䅕䅉㉂䝁䅕䅡灂䝁䅍䅢求䡁䅍䅌杁䝁䅅杢歂䍁䅁䅤潂䡁䅉党求䍁䄰睤潂䝁䅕党獂䝁䅕䅚杁䡁䅙党潂䝁䅫睙獂䝁䅕督㝁䍁䅁兙畂䝁䅑䅉穂䝁䅕兙穂䝁䄸杢桂䝁䅷䅉睂䡁䅉睢歂䡁䅕睙あ䡁䅍䅌杁䝁䅫杢橂䝁䅷兤歂䝁䅫杢湂䍁䅁睕牂䝁䅫兌䕂䝁䄸睢杁䝁䅅杢歂䍁䅁䅔㕂䝁䄴䅥杁䡁䅍杢療䡁䅣兢療䝁䅉兡獂䝁䅕督獁䍁䅁睕求䝁䅅兌䕂䝁䄸睢杁䡁䅁党祂䡁䅍睢畂䝁䅅䅢杁䡁䅣兙あ䝁䅕杣橂䡁䅉兙浂䡁䅑督杁䝁䅅杢歂䍁䅁䅣療䝁䄴䅤療䝁䄸杢穂䍁䅷䅉卂䝁䄸䅤桂䡁䅧䅉求䝁䄴睚灂䝁䄴党穂䍁䅁杚療䡁䅉䅉牂䝁䅅杣あ䡁䅍䅉桂䝁䄴䅚杁䡁䅉党橂䡁䅉党桂䡁䅑兡療䝁䄴兙獂䍁䅁兙灂䡁䅉睙祂䝁䅅杚あ䍁䅷䅉桂䝁䄴䅚杁䙁䅁兡畂䝁䅫睢畂䍁䅁睚求䝁䅅杣楂䝁䄸䅥求䡁䅍䅉㍂䝁䅫䅤潂䍁䅁督瑂䝁䅅杣あ䍁䅁督潂䝁䅫杚あ䍁䅁督㕂䡁䅍䅤求䝁䄰督畁䍁䅁䅖潂䝁䅕䅉乂䝁䅅杣灂䝁䄴党杁䡁䅍党湂䝁䄰党畂䡁䅑䅉睂䡁䅉睢㉂䝁䅫䅚求䡁䅍䅉䉂䝁䅷兤瑂䝁䅅睙祂䝁䅅杚あ䍁䅷䅉乂䝁䅅杢灂䡁䅑睢ㅂ䍁䅷䅉剂䡁䅕兡畂䡁䅑杣求䡁䅧䅌杁䙁䅍䅤桂䝁䅍党祂䍁䅷䅉桂䝁䄴䅚杁䙁䅫党獂䝁䅷睢㍂䝁䅙兡畂䍁䅁杙療䝁䅅䅤穂䑁䅳䅉卂䝁䄸䅤桂䡁䅧䅉求䝁䄴睚灂䝁䄴党穂䍁䅁杚療䡁䅉䅉煂䝁䅕䅤杁䝁䅉睢桂䡁䅑督㝁䍁䅁兙畂䝁䅑䅉卂䝁䄸䅤桂䡁䅧䅉呂䍁䅁睢ㅂ䡁䅑杙療䝁䅅杣歂䍁䅁党畂䝁䅣兡畂䝁䅕杌杁䙁䅑䅡求䍁䅁睙療䝁䄰䅣桂䝁䄴入杁䡁䅣兙穂䍁䅁杚療䡁䅉兢求䡁䅉䅢㕂䍁䅁睡畂䝁䄸睤畂䍁䅁兙穂䍁䅁杓畁䕁䅅杌杁䕁䅉睢瑂䝁䅉兙祂䝁䅑兡求䡁䅉䅉潁䕁䅯杌䉂䍁䄴村畁䍁䅫䅉䩂䝁䄴睙畁䍁䅁兙畂䝁䅑䅉橂䝁䅧兙畂䝁䅣党歂䍁䅁兡あ䡁䅍䅉畂䝁䅅兢求䍁䅁䅤療䍁䅁村卂䙁䅁䅉䩂䝁䄴睙畁䍁䅁兡畂䍁䅁兑睂䡁䅉兡獂䍁䅁杍睁䑁䅅睍畁䍁䅁村卂䙁䅁䅉䩂䝁䄴睙畁䍁䅁睤桂䡁䅍䅉浂䝁䄸兤畂䝁䅑党歂䍁䅁兡畂䍁䅁免㕁䑁䅍睎杁䝁䅅杢歂䍁䅁兡穂䍁䅁䅡求䝁䅅䅚硂䡁䅕兙祂䡁䅑党祂䝁䅕䅚杁䝁䅫杢杁䙁䅙兙獂䝁䅍睢ㅂ䡁䅉䅤獁䍁䅁睑桂䝁䄴兙歂䝁䅅杌䅁䉁䉫䅁潁䅁䅁杉偂䡁䅁䅤灂䝁䄸杢穂䑁䅯䅉䑂䡁䅕杣祂䑁䄰兖呂䕁䅑杉䅁䥁䅯䅁⭁䅁䅁杕灂䝁䅍䅡桂䡁䅉䅚穂䍁䅁䅕桂䝁䅍睡桂䝁䅣兡畂䝁䅣䅉䩂䝁䄴睙療䝁䄰党杁䕁䅙兤畂䝁䅑䅁祄䅁䅁材䅁䕁䅅䅤獂䝁䅅督杁䕁䅕杢湂䝁䅫杢求䝁䅕杣求䝁䅑䅉兂䡁䅉睢歂䡁䅕睙あ䡁䅍䅉䵂䡁䅑䅚畁䅁䅁睁䅅䍁䄴䅁潁䕁䅫杢㉂䝁䅅䅢灂䝁䅑䅉䝂䝁䄸杣瑂䡁䅕䅢桂䍁䅁杔桂䝁䄰党灁䅁䅁睨䅁䉁䅁䅁啂䙁䅍䅗㙁䙁䅙䅔佂䅁䅁䅸䅁䍁乑䅁䑂䝁䅅杢桂䝁䅑兡桂䝁䄴䅉呂䝁䄸䅢桂䡁䅉䅉䩂䝁䄴睙畁䍁䅷䅉あ䝁䄸睚求䡁䅑䅡求䡁䅉䅉㍂䝁䅫䅤潂䍁䅁兡あ䡁䅍䅉穂䡁䅕杙穂䝁䅫䅚灂䝁䅅杣灂䝁䅕督獁䍁䅁䅣祂䝁䄸杤灂䝁䅑党穂䍁䅁督療䝁䅷兙祂䍁䅁党畂䝁䅕杣湂䡁䅫䅉桂䝁䄴䅚杁䝁䅉兙あ䡁䅑党祂䡁䅫䅉求䝁䄴党祂䝁䅣入杁䡁䅍䅤療䡁䅉兙湂䝁䅕䅉睂䡁䅉睢歂䡁䅕睙あ䡁䅍䅉桂䝁䄴䅚杁䡁䅍睢獂䡁䅕䅤灂䝁䄸杢穂䍁䅁兡畂䍁䅁兡畂䍁䅁兑穂䝁䅫兙獁䍁䅁䅤潂䝁䅕䅉䉂䝁䄰党祂䝁䅫睙桂䡁䅍䅌杁䕁䅕兤祂䝁䄸䅣求䍁䅷䅉桂䝁䄴䅚杁䝁䅫杢あ䝁䅕杣畂䝁䅅䅤灂䝁䄸杢桂䝁䅷䅢㕂䍁䄴䅉啂䝁䅧党杁䝁䅍睢瑂䡁䅁兙畂䡁䅫䅉療䡁䅁党祂䝁䅅䅤求䡁䅍䅉あ䝁䅧杣療䡁䅕睚潂䍁䅁䅤㍂䝁䄸䅉穂䝁䅕睚瑂䝁䅕杢あ䡁䅍䅌杁䕁䅍睕䩂䍁䅁睕療䝁䅷兙祂䍁䅁兙畂䝁䅑䅉卂䝁䅕睙ㅂ䡁䅉杣求䝁䄴䅤杁䕁䅕杢求䡁䅉睚㕂䍁䄴䅉啂䝁䅧党杁䕁䅍睕䩂䍁䅁睕療䝁䅷兙祂䍁䅁督求䝁䅣兢求䝁䄴䅤杁䝁䅑党穂䝁䅫睚畂䡁䅍䅌杁䝁䅑党㉂䝁䅕䅢療䡁䅁督獁䍁䅁兙畂䝁䅑䅉瑂䝁䅅杢ㅂ䝁䅙兙橂䡁䅑兤祂䝁䅕督杁䡁䅍睢獂䝁䅅杣杁䝁䅫杢湂䝁䄸䅤穂䍁䅷䅉㍂䝁䅅杚求䡁䅉督獁䍁䅁睙求䝁䅷䅢穂䍁䅷䅉瑂䝁䄸䅚ㅂ䝁䅷党穂䍁䅷䅉桂䝁䄴䅚杁䝁䄸䅤潂䝁䅕杣杁䡁䅍睢獂䝁䅅杣杁䡁䅁睢㍂䝁䅕杣杁䝁䅅杢歂䍁䅁杙桂䡁䅑䅤求䡁䅉入杁䡁䅍䅤療䡁䅉兙湂䝁䅕䅉睂䡁䅉睢歂䡁䅕睙あ䡁䅍杌杁䕁䅫䅤杁䝁䄸杚浂䝁䅕杣穂䍁䅁督あ䝁䅅杢歂䝁䅅杣歂䍁䅁督療䝁䅷兙祂䍁䅁兢療䝁䅑兤獂䝁䅕督杁䝁䅅杢歂䍁䅁杙桂䡁䅑䅤求䡁䅉入杁䡁䅍䅤療䡁䅉兙湂䝁䅕䅉穂䝁䄸䅢ㅂ䡁䅑兡療䝁䄴督㝁䍁䅁督療䝁䅷兙祂䍁䅁督㕂䡁䅍䅤求䝁䄰䅉牂䝁䅫䅤穂䍁䅷䅉穂䡁䅕睙潂䍁䅁兙穂䍁䅁兡畂䡁䅙党祂䡁䅑党祂䡁䅍䅌杁䡁䅉兙橂䝁䅳兡畂䝁䅣䅉穂䡁䅫督あ䝁䅕兢穂䍁䅷䅉桂䝁䄴䅚杁䝁䄸䅤潂䝁䅕杣杁䝁䅅睙橂䝁䅕督穂䝁䄸杣灂䝁䅕督㝁䍁䅁䅣療䡁䅣党祂䍁䅁党獂䝁䅕睙あ䡁䅉睢畂䝁䅫睙杁䡁䅁杣療䝁䅑兤橂䡁䅑督㝁䍁䅁兙畂䝁䅑䅉求䝁䄴睚灂䝁䄴党求䡁䅉兡畂䝁䅣䅌杁䡁䅁杣療䝁䅍兤祂䝁䅕兢求䝁䄴䅤獁䍁䅁兙畂䝁䅑䅉橂䝁䄸杢穂䡁䅑杣ㅂ䝁䅍䅤灂䝁䄸杢杁䍁䅧兒兂䕁䅍克杁䡁䅍党祂䡁䅙兡橂䝁䅕督獁䍁䅁兙穂䍁䅁睤求䝁䅷䅢杁䝁䅅督杁䝁䄸䅣求䡁䅉兙あ䝁䅕督杁䝁䅉兙あ䡁䅑党祂䡁䅫䅉求䝁䄴党祂䝁䅣入杁䡁䅍䅤療䡁䅉兙湂䝁䅕䅉睂䡁䅉睢煂䝁䅕睙あ䡁䅍杌杁䙁䅑䅡求䍁䅁杕求䝁䅍兤祂䡁䅉党畂䡁䅑䅉䙂䝁䄴党祂䝁䅣入杁䡁䅍党湂䝁䄰党畂䡁䅑䅉求䝁䄴睚桂䝁䅣党穂䍁䅁兡畂䍁䅁䅤潂䝁䅕䅉歂䝁䅕杤求䝁䅷睢睂䝁䄰党畂䡁䅑䅌杁䝁䅍睢畂䡁䅍䅤祂䡁䅕睙あ䝁䅫睢畂䍁䅷䅉瑂䝁䅅兡畂䡁䅑党畂䝁䅅杢橂䝁䅕䅌杁䝁䅅杢歂䍁䅁督桂䝁䅷党杁䝁䄸杚杁䡁䅍睢獂䝁䅅杣杁䡁䅁睢㍂䝁䅕杣杁䝁䅅杢歂䍁䅁杙桂䡁䅑䅤求䡁䅉入杁䡁䅍䅤療䡁䅉兙湂䝁䅕䅉睂䡁䅉睢煂䝁䅕睙あ䡁䅍睏杁䝁䅅杢歂䍁䅁睢睂䝁䅕杣桂䡁䅑兡療䝁䄴䅉療䝁䅙䅉穂䝁䄸䅢桂䡁䅉䅉睂䝁䄸睤求䡁䅉䅉睂䝁䅷兙畂䡁䅑督㝁䍁䅁兙畂䝁䅑䅉穂䝁䅅䅢求䍁䅁睢浂䍁䅁党獂䝁䅕睙あ䡁䅉兡橂䝁䅫䅤㕂䍁䄴䅉啂䝁䅧兡穂䍁䅁督求䝁䅣兢求䝁䄴䅤杁䡁䅁杣療䡁䅙兡歂䝁䅕督杁䝁䄸䅣求䡁䅉兙あ䝁䅫睢畂䍁䅁兙畂䝁䅑䅉瑂䝁䅅兡畂䡁䅑党畂䝁䅅杢橂䝁䅕䅉潁䕁䄸杊乂䍁䅫䅉穂䝁䅕杣㉂䝁䅫睙求䡁䅍䅌杁䝁䅫杢橂䝁䅷兤歂䝁䅫杢湂䍁䅁兢療䝁䄴兡あ䝁䄸杣灂䝁䄴睚獁䍁䅁兡畂䡁䅍䅣求䝁䅍䅤灂䝁䄸杢穂䍁䅷䅉祂䝁䅕䅣桂䝁䅫杣獁䍁䅁兙畂䝁䅑䅉祂䝁䅕䅣獂䝁䅅睙求䝁䄰党畂䡁䅑䅉療䝁䅙䅉睂䝁䅷兙畂䡁䅑䅉求䡁䅅兤灂䡁䅁兢求䝁䄴䅤㝁䍁䅁兙畂䝁䅑䅉穂䝁䅫䅤求䍁䅁兢桂䝁䄴兙湂䝁䅕兢求䝁䄴䅤杁䝁䅅杢歂䍁䅁兙歂䝁䄰兡畂䝁䅫督あ䡁䅉兙あ䝁䅫杤求䍁䅁督ㅂ䡁䅁䅣療䡁䅉䅤杁䡁䅍党祂䡁䅙兡橂䝁䅕督杁䝁䅙睢祂䍁䅁督療䝁䅷兙祂䍁䅁䅣祂䝁䄸条求䝁䅍䅤穂䍁䅷䅉桂䡁䅍䅉㍂䝁䅕䅢獂䍁䅁兙穂䍁䅁兙穂䡁䅍党あ䍁䅁兢桂䝁䄴兙湂䝁䅕兢求䝁䄴䅤杁䡁䅍党祂䡁䅙兡橂䝁䅕督畁䍁䅁兓あ䍁䅁䅡桂䡁䅍䅉桂䍁䅁杚獂䝁䅕党あ䍁䅁睢浂䍁䅁督療䝁䅷兙祂䍁䅁兙畂䝁䅑䅉楂䝁䅅䅤あ䝁䅕杣㕂䍁䅁党畂䝁䅕杣湂䡁䅫䅉穂䡁䅑睢祂䝁䅅睚求䍁䅁䅣獂䝁䅅杢あ䡁䅍䅉灂䝁䄴䅉療䡁䅁党祂䝁䅅䅤灂䝁䄸杢杁䡁䅣兡あ䝁䅧䅉桂䝁䄴䅉桂䝁䅣睚祂䝁䅕睚桂䡁䅑党杁䝁䅍兙睂䝁䅅睙灂䡁䅑入杁䝁䄸杚杁䝁䅅䅣睂䡁䅉睢㑂䝁䅫兢桂䡁䅑党獂䡁䅫䅉硁䍁䅷䅍睁䑁䅕䅉乂䙁䅣䅣杁䝁䅅杢歂䍁䅁李睁䑁䅁䅉乂䙁䅣䅡畁䍁䅁兓あ䍁䅁督求䡁䅉杤求䡁䅍䅉歂䝁䅫督あ䡁䅉兡楂䡁䅕䅤療䡁䅉督獁䍁䅁督㕂䡁䅍䅤求䝁䄰䅉灂䝁䄴䅤求䝁䅣杣桂䡁䅑睢祂䡁䅍䅌杁䡁䅁杣療䝁䅯党橂䡁䅑䅉歂䝁䅕杤求䝁䅷睢睂䝁䅕杣穂䍁䅷䅉桂䝁䄴䅚杁䝁䅫杢穂䡁䅑兙獂䝁䅷党祂䡁䅍睌䙂䙁䅁睑杁䝁䅍睢瑂䡁䅁兙畂䝁䅫党穂䍁䅷䅉桂䡁䅍䅉㍂䝁䅕䅢獂䍁䅁兙穂䍁䅁兤あ䝁䅫䅢灂䡁䅑入杁䝁䅍睢瑂䡁䅁兙畂䝁䅫党穂䍁䅁睢祂䍁䅁睚祂䝁䅫䅚杁䝁䄸䅣求䡁䅉兙あ䝁䄸杣穂䍁䅷䅉睂䡁䅕杙獂䝁䅫睙杁䡁䅕䅤灂䝁䅷兡あ䝁䅫党穂䍁䅷䅉獂䝁䅫睙求䝁䄴督求䝁䅑䅉穂䡁䅕䅣睂䝁䅷兡求䡁䅉督獁䍁䅁睙療䡁䅉䅣療䡁䅉兙あ䝁䅕䅉療䝁䅙杚あ䝁䅅睡求䡁䅉督獁䍁䅁兙畂䝁䅑䅉橂䝁䄸兢瑂䝁䅕杣橂䝁䅫兙獂䍁䅷䅉灂䝁䄴䅚ㅂ䡁䅍䅤祂䝁䅫兙獂䍁䅁睢祂䍁䅁睚療䡁䅙党祂䝁䄴兢求䝁䄴䅤杁䝁䅕杢歂䍁䅁兤穂䝁䅕杣穂䍁䄴䅉䩂䡁䅑䅉穂䝁䅕䅢獂䡁䅍䅉灂䡁䅑督杁䡁䅁杣療䝁䅑兤橂䡁䅑督杁䡁䅁杣灂䝁䄰兙祂䝁䅫䅢㕂䍁䅁兤畂䝁䅑党祂䍁䅁兡あ䡁䅍䅉䑂䝁䅅杢桂䝁䅑兡桂䝁䄴䅉呂䝁䄸䅢桂䡁䅉䅉楂䡁䅉兙畂䝁䅑䅉畂䝁䅅兢求䍁䄴䅉䑂䝁䅅杢桂䝁䅑兡桂䝁䄴䅉呂䝁䄸䅢桂䡁䅉䅉䩂䝁䄴睙畁䍁䅁睤桂䡁䅍䅉灂䝁䄴睙療䡁䅉䅣療䡁䅉兙あ䝁䅕䅚杁䝁䅫杢杁䑁䅉䅍睁䑁䅅䅉桂䝁䄴䅚杁䝁䅫督杁䝁䅉兙穂䝁䅕䅚杁䝁䅫杢杁䕁䅣兤求䝁䅷䅣潂䍁䅷䅉䑂䝁䅅杢桂䝁䅑兙畁䅁䅁䅃䅅䡁䭯䅁䙂䡁䅧睙療䍁䅁䅖求䝁䅍䅡畂䝁䄸䅢療䝁䅣兡求䡁䅍䅉䵂䝁䅫兢灂䡁䅑党歂䍁䅷䅉あ䝁䄸睚求䡁䅑䅡求䡁䅉䅉㍂䝁䅫䅤潂䍁䅁兡あ䡁䅍䅉穂䡁䅕杙穂䝁䅫䅚灂䝁䅅杣灂䝁䅕督獁䍁䅁䅚求䡁䅍兡湂䝁䄴督獁䍁䅁䅚求䡁䅙党獂䝁䄸䅣穂䍁䅷䅉瑂䝁䅅杢ㅂ䝁䅙兙橂䡁䅑兤祂䝁䅕督獁䍁䅁兙畂䝁䅑䅉穂䝁䅕䅢獂䡁䅍䅉歂䝁䅫党穂䍁䅷䅉瑂䝁䄸䅢歂䡁䅍䅌杁䝁䅍睢瑂䡁䅁睢畂䝁䅕杢あ䡁䅍䅉桂䝁䄴䅚杁䝁䅅督穂䝁䅕兢楂䝁䅷兡求䡁䅍䅌杁䝁䅅杢歂䍁䅁睙療䝁䄴督ㅂ䝁䄰兙楂䝁䅷党杁䝁䅕兣ㅂ䝁䅫䅣瑂䝁䅕杢あ䍁䅁杚療䡁䅉䅉あ䝁䅧党杁䝁䅑兡求䍁䄰睙桂䡁䅍䅤獁䍁䅁党㑂䡁䅑杣ㅂ䡁䅍兡療䝁䄴䅌杁䝁䅅杢歂䍁䅁兙ㅂ䡁䅑睢瑂䝁䄸䅤灂䡁䅙党杁䝁䅫杢歂䡁䅕督あ䡁䅉兡求䡁䅍杌杁䕁䅫䅤杁䝁䄸䅣求䡁䅉兙あ䝁䅕督杁䡁䅑䅡祂䝁䄸兤湂䝁䅧䅉あ䡁䅣睢杁䡁䅍党湂䝁䄰党畂䡁䅑督獁䍁䅁睑桂䡁䅍䅤灂䝁䄴睚杁䝁䅅杢歂䍁䅁兒㑂䡁䅑杣ㅂ䡁䅍兡療䝁䄴䅌杁䝁䅅杢歂䍁䅁兑ㅂ䡁䅑睢瑂䝁䄸䅤灂䡁䅙党杁䙁䅍睢獂䡁䅕䅤灂䝁䄸杢穂䍁䄴䅉啂䝁䅧党杁䕁䅍兙穂䡁䅑兡畂䝁䅣䅉桂䝁䄴䅚杁䕁䅕䅥あ䡁䅉兤穂䝁䅫睢畂䍁䅁督求䝁䅣兢求䝁䄴䅤杁䝁䅑党穂䝁䅫睚畂䡁䅍䅌杁䝁䅑党㉂䝁䅕䅢療䡁䅁督獁䍁䅁兙畂䝁䅑䅉瑂䝁䅅杢ㅂ䝁䅙兙橂䡁䅑兤祂䝁䅕督杁䡁䅑睢療䝁䅷兡畂䝁䅣䅉桂䝁䄴䅚杁䝁䅍睢畂䡁䅍兤瑂䝁䅅杙獂䝁䅕䅉睂䝁䅅杣あ䡁䅍䅉浂䝁䄸杣杁䝁䅅䅢ㅂ䝁䄰兡畂䡁䅕兢杁䝁䅑兡求䍁䄰睙桂䡁䅍䅤灂䝁䄴睚杁䝁䅅杢歂䍁䅁兙獂䡁䅕兢灂䝁䄴兤瑂䍁䅁党㑂䡁䅑杣ㅂ䡁䅍兡療䝁䄴䅉瑂䝁䅅睙潂䝁䅫杢求䡁䅍杌杁䙁䅑䅡求䍁䅁兑ㅂ䡁䅑睢瑂䝁䄸䅤灂䡁䅙党杁䙁䅍睢獂䡁䅕䅤灂䝁䄸杢穂䍁䅁督求䝁䅣兢求䝁䄴䅤杁䡁䅁杣療䝁䅑兤橂䝁䅕督杁䝁䅅兤あ䝁䄸兢療䡁䅑兡㉂䝁䅕䅉灂䝁䄴䅤求䡁䅉兡療䡁䅉䅉あ䡁䅉兡瑂䍁䅁睙療䝁䄰䅣療䝁䄴党畂䡁䅑督杁䝁䅅杢歂䍁䅁兙穂䡁䅍党瑂䝁䅉䅢灂䝁䅕督杁䡁䅁杣灂䝁䄰兙祂䝁䅫䅢㕂䍁䅁杚療䡁䅉䅉睂䝁䅅督穂䝁䅕杢湂䝁䅕杣杁䝁䅅杢歂䍁䅁䅢灂䝁䅣䅡あ䍁䅁䅤祂䡁䅕睙牂䍁䅁杤求䝁䅧兡橂䝁䅷党穂䍁䄴䅉䩂䡁䅑䅉療䝁䅙杚求䡁䅉督杁䡁䅍入畂䡁䅑䅡求䡁䅑兡橂䍁䅁杢求䡁䅑䅉桂䝁䄴䅚杁䝁䄸䅤潂䝁䅕杣杁䝁䅍兙祂䝁䅣睢杁䡁䅉党穂䡁䅑杣桂䝁䅫杢あ䍁䅁䅣祂䝁䄸䅚ㅂ䝁䅍䅤穂䍁䅷䅉灂䝁䄴条求䝁䅍䅤灂䝁䄸杢瑁䝁䄰睢獂䝁䅑党歂䍁䅁睙療䝁䄰䅣療䝁䄴党畂䡁䅑督獁䍁䅁督潂䝁䅫杚あ䍁䄸杙祂䝁䅅睡求䍁䅁杙療䝁䄸䅤穂䍁䅷䅉灂䝁䄴督あ䡁䅉兤瑂䝁䅕杢あ䍁䅁䅣桂䝁䄴党獂䍁䅁睙療䝁䄰䅣療䝁䄴党畂䡁䅑督獁䍁䅁督ㅂ䝁䄴䅉㉂䝁䅫督療䡁䅉督獁䍁䅁督求䝁䅅䅤杁䝁䅍睢㉂䝁䅕杣穂䍁䅷䅉潂䝁䅕兙歂䍁䅁杣求䡁䅍䅤穂䍁䅷䅉療䡁䅑䅡求䡁䅉䅉橂䡁䅕䅤杁䝁䅅杢歂䍁䅁督求䡁䅣䅉睂䡁䅉睢歂䡁䅕睙あ䡁䅍䅌杁䝁䅅杢歂䍁䅁杣求䝁䅷兙あ䝁䅕䅚杁䝁䅫杢あ䝁䅕杣灂䝁䄸杣杁䡁䅑杣灂䝁䄰䅉橂䝁䄸兢睂䝁䄸杢求䝁䄴䅤穂䍁䅁兙畂䝁䅑䅉桂䡁䅍督求䝁䄰杙獂䝁䅫党穂䍁䄴䅉啂䝁䅧兡穂䍁䅁督求䝁䅣兢求䝁䄴䅤杁䝁䅅䅢穂䝁䄸䅉穂䡁䅕䅣睂䝁䅷兡求䡁䅍䅉睂䝁䅷兙穂䡁䅑兡橂䍁䅁䅤祂䡁䅕杢牂䍁䅁䅤祂䝁䅅入穂䍁䅁兙畂䝁䅑䅉療䡁䅉睚桂䝁䄴兡㙂䝁䅕杣杁䡁䅍入穂䡁䅑党瑂䡁䅍䅌杁䝁䅙䅢療䝁䄸杣杁䝁䄰兙あ䡁䅍䅌杁䝁䅉兤瑂䡁䅁党祂䍁䅁睙療䡁䅙党祂䡁䅍䅌杁䝁䅑兡求䍁䅁睙ㅂ䡁䅑䅉獂䝁䅕兙あ䝁䅧党祂䍁䅁督求䡁䅑督杁䝁䅙睢祂䍁䅁督求䝁䅅䅤灂䝁䄴睚杁䝁䅅䅣睂䝁䅷兡橂䝁䅅䅤灂䝁䄸杢穂䍁䅷䅉桂䝁䄴䅚杁䝁䄸䅤潂䝁䅕杣杁䝁䅫杢あ䝁䅕杣灂䝁䄸杣杁䡁䅑杣灂䝁䄰䅉桂䡁䅁䅣獂䝁䅫睙桂䡁䅑兡療䝁䄴督獁䍁䅁兙穂䍁䅁睤求䝁䅷䅢杁䝁䅅督杁䝁䅫杢煂䝁䅕睙あ䝁䅫睢畂䍁䄰兢療䝁䅷䅚求䝁䅑䅌杁䝁䅧兙畂䝁䅑兌穂䝁䅕睤畂䍁䅷䅉瑂䝁䅅睙潂䝁䅫杢求䍁䄰督求䡁䅣杢獁䍁䅁兙畂䝁䅑䅉潂䝁䅅杢歂䍁䄰睤祂䝁䅅䅣睂䝁䅕䅚杁䝁䅫杢あ䝁䅕杣灂䝁䄸杣杁䡁䅑杣灂䝁䄰䅉橂䝁䄸兢睂䝁䄸杢求䝁䄴䅤穂䍁䅁睢浂䍁䅁兙獂䝁䅷䅉穂䝁䄸杣あ䡁䅍杌杁䙁䅑䅡求䍁䅁睙療䝁䄰䅣桂䝁䄴入杁䝁䅧兙穂䍁䅁睢睂䝁䅕杣桂䡁䅑兡療䝁䄴督杁䝁䅫杢杁䕁䅍兙畂䝁䅅䅚桂䍁䅷䅉あ䝁䅧党杁䙁䅕杢灂䡁䅑党歂䍁䅁睕あ䝁䅅䅤求䡁䅍䅌杁䕁䅕兤祂䝁䄸䅣求䍁䅷䅉乂䝁䅕䅥灂䝁䅍睢獁䍁䅁兔療䡁䅉睢橂䝁䅍睢獁䍁䅁兑穂䝁䅫兙獁䍁䅁兙畂䝁䅑䅉灂䝁䄴䅤求䡁䅉杢桂䡁䅑兡療䝁䄴兙獂䝁䅷入畁䍁䅁兒㑂䝁䅍睢杁䙁䅑党橂䝁䅧杢療䝁䅷睢湂䝁䅫党穂䍁䅁䅔灂䝁䄰兡あ䝁䅕䅚杁䡁䅣兙穂䍁䅁杚療䡁䅕杢歂䝁䅕䅚杁䝁䅫杢杁䑁䅅兏ㅁ䑁䅉䅉桂䝁䄴䅚杁䝁䅫督杁䝁䅉兙穂䝁䅕䅚杁䝁䅫杢杁䕁䄰兙祂䝁䅳䅡桂䝁䄰䅌杁䕁䅍兙畂䝁䅅䅚桂䍁䄴䅁啄䅁䅁杆䅁䕁䅫兕硁䑁䅉杍祁䑁䅅䅎㉁䑁䅅䅁扂允䅁杋䅁䍁䅍兓佂䙁䅙兑䵂䕁䅫䅒杁䕁䄰兒啂䙁䅉兓䑂䍁䅁杔䉂䕁䄰兒䅁䕁䅙䅁捁䅁䅁杔桂䡁䅍䅚桂䡁䅅睒乂䑁䅯睖䵂䕁䅑杔䅁䡁䅙䅁㉁䅁䅁兓剂䙁䄸䅔䙂䕁䅅睕䙂䙁䄸兑䕂䕁䅯兖呂䙁䅑兔䙂䕁䄴䅖時䕁䅕村䩂䙁䅑䅒䉂䅁䅁睗䅁䑁䅧䅁橁䕁䅫杔坂䕁䅅䅔䩂䕁䅑䅉䝂䙁䅕杔䑂䙁䅑兓偂䕁䄴䅉兂䕁䅅杕䉂䕁䄰兒啂䕁䅕杕䅁䕁䅧䅁浂睃䅁兑歂䡁䅙兙畂䝁䅍党歂䍁䅁䅒祂䝁䅅兡畂䝁䅅睚求䍁䅁睕㕂䡁䅍䅤求䝁䄰督獁䍁䅁兓畂䝁䅍杌杁䝁䅑党穂䝁䅫睚畂䡁䅍䅌杁䝁䄰兙畂䡁䅕杚桂䝁䅍䅤ㅂ䡁䅉党穂䍁䅷䅉桂䝁䄴䅚杁䝁䄰兙祂䝁䅳党あ䡁䅍䅉あ䝁䅧党祂䝁䄰睢睂䝁䅷兙穂䡁䅑兡橂䍁䅁睙療䡁䅉杣ㅂ䝁䅣兙あ䝁䅕䅚杁䡁䅁兡睂䝁䅕督杁䝁䅅杢歂䍁䅁杣求䝁䅷兙あ䝁䅕䅚杁䡁䅣兙あ䝁䅕杣杁䝁䄰兙畂䝁䅅睚求䝁䄰党畂䡁䅑䅉睂䡁䅉睢歂䡁䅕睙あ䡁䅍䅉灂䝁䄴䅉あ䝁䅧党杁䙁䅕杢灂䡁䅑党歂䍁䅁睕あ䝁䅅䅤求䡁䅍䅌杁䕁䅍兙畂䝁䅅䅚桂䍁䅷䅉桂䝁䄴䅚杁䝁䅫杢あ䝁䅕杣畂䝁䅅䅤灂䝁䄸杢桂䝁䅷䅢㕂䍁䄴䅉䩂䡁䅑䅉療䡁䅁党祂䝁䅅䅤求䡁䅍䅉あ䝁䅧杣療䡁䅕睚潂䍁䅁䅕灂䡁䅁党獁䍁䅁兓畂䝁䅙兡獂䡁䅑杣桂䡁䅑睢祂䍁䅷䅉䩂䝁䄴䅤求䡁䅉杢桂䡁䅑兡療䝁䄴兙獂䍁䅷䅉桂䝁䄴䅚杁䕁䅅䅢獂䝁䅫党歂䍁䅁䅕祂䝁䄸䅚ㅂ䝁䅍䅤穂䍁䅁杊杁䕁䄸䅤潂䝁䅕杣杁䡁䅍党湂䝁䄰党畂䡁䅑督畁䍁䅁䅖潂䝁䅕䅉橂䝁䄸兢睂䝁䅅杢㕂䍁䅁睢浂䝁䅙党祂䡁䅍䅉穂䝁䅫杢湂䝁䅷党獁䍁䅁䅚療䡁䅕杙獂䝁䅕䅌杁䝁䅅杢歂䍁䅁䅤祂䝁䅫䅣獂䝁䅕䅉㍂䝁䅅䅢獂䍁䅁睙療䡁䅉杣ㅂ䝁䅣兙あ䝁䅕䅚杁䡁䅁睢獂䡁䅫䅣祂䝁䄸䅣㕂䝁䅷党畂䝁䅕䅉桂䝁䄴䅚杁䡁䅁睢獂䡁䅫党あ䝁䅧入獂䝁䅕杢求䍁䅁䅣灂䡁䅁党穂䑁䅳䅉睂䝁䅷兙穂䡁䅑兡橂䍁䅁䅢求䝁䅅睙潂䝁䅙兡求䝁䅷䅚杁䝁䅍䅡桂䝁䄰杙求䡁䅉督杁䝁䅅杢歂䍁䅁督㕂䡁䅍䅤求䝁䄰督㝁䍁䅁兒慂䝁䅙䅢療䡁䅣䅉穂䡁䅫杢あ䝁䅧党あ䝁䅫睙杁䝁䅅睚湂䡁䅉党湂䝁䅅䅤求䍁䅁杙ㅂ䝁䄴䅚獂䝁䅕督㝁䍁䅁睤桂䡁䅍䅤求䡁䅣兙あ䝁䅕杣杁䡁䅁兤祂䝁䅫杚灂䝁䅍兙あ䝁䅫睢畂䍁䅁䅤潂䡁䅉睢ㅂ䝁䅣䅡杁䝁䄰党橂䝁䅧兙畂䝁䅫睙桂䝁䅷䅉桂䝁䅕杣桂䡁䅑兡療䝁䄴䅉㍂䝁䅅督あ䝁䅕睤桂䡁䅑党祂䍁䅁杚療䡁䅉䅉祂䝁䅕督灂䝁䅑党畂䡁䅑兡桂䝁䅷䅉桂䝁䄴䅚杁䝁䅍睢瑂䝁䄰党祂䝁䅍兡桂䝁䅷䅉穂䡁䅫督あ䝁䅕兢穂䑁䅳䅉穂䝁䅕䅣あ䝁䅫睙杁䡁䅑兙畂䝁䅳督杁䝁䅅杢歂䍁䅁兙橂䝁䅍党穂䡁䅍睢祂䝁䅫党穂䑁䅳䅉橂䝁䄸兢楂䝁䅫杢求䝁䅑䅉あ䡁䅉党桂䡁䅑兢求䝁䄴䅤杁䝁䅅杢歂䍁䅁䅚灂䡁䅍䅣求䡁䅉督桂䝁䅷䅉穂䡁䅫督あ䝁䅕兢穂䍁䅷䅉灂䝁䄴睙獂䡁䅕䅚灂䝁䄴睚杁䕁䅅党祂䝁䄸杒灂䝁䄴䅌杁䝁䅅䅚㉂䝁䅅杢橂䝁䅕䅚杁䝁䅕杢㉂䝁䅫杣療䍁䄰督求䡁䅁䅤灂䝁䅍䅌杁䝁䅕杢㉂䝁䅫杣療䍁䄰督求䡁䅁䅤灂䝁䅍䅌杁䝁䅅杢歂䍁䅁兙歂䡁䅙兙畂䝁䅍党歂䍁䅁䅤祂䝁䅕兙あ䝁䄰党畂䡁䅑䅉獂䝁䅕兙橂䝁䅧杚灂䝁䅕䅢歂䑁䅳䅉桂䝁䄴䅚杁䝁䅅䅢獂䝁䅫党歂䍁䅁䅣祂䝁䄸䅚ㅂ䝁䅍䅤穂䍁䅷䅉灂䝁䄴睙獂䡁䅕䅚灂䝁䄴睚杁䡁䅍䅤療䡁䅉兢杁䡁䅉党あ䝁䅕杢あ䝁䅫睢畂䍁䄸䅚求䡁䅑党畂䡁䅑兡療䝁䄴䅉桂䝁䄴䅚杁䡁䅍党睂䡁䅑兡橂䍁䅁睙潂䝁䅅兢楂䝁䅕杣穂䍁䅷䅉睂䝁䄸䅢㕂䡁䅙兡畂䡁䅫䅢杁䝁䅍䅡獂䝁䄸杣灂䝁䅑党杁䝁䅑杣桂䝁䅫杢桂䝁䅣党杁䡁䅍䅤祂䡁䅕睙あ䡁䅕杣求䡁䅍䅌杁䝁䅙兡あ䡁䅑兡畂䝁䅣督獁䍁䅁兙畂䝁䅑䅉㍂䝁䅅䅤求䡁䅉䅉硂䡁䅕兙獂䝁䅫䅤㕂䍁䅁杚灂䝁䅷䅤求䡁䅉督杁䝁䅅杢歂䍁䅁督求䡁䅁兙祂䝁䅅䅤療䡁䅉督畁䍁䅁兓あ䍁䅁兙獂䡁䅍睢杁䡁䅁兤祂䝁䅍䅡桂䡁䅍党穂䍁䅁兙畂䝁䅑䅉歂䝁䅫督あ䡁䅉兡楂䡁䅕䅤求䡁䅍䅉橂䝁䄸杢穂䡁䅑杣ㅂ䝁䅍䅤灂䝁䄸杢杁䝁䅙兙楂䡁䅉兡橂䡁䅍䅉桂䝁䄴䅚杁䝁䄸䅤潂䝁䅕杣杁䝁䅣党療䡁䅍入畂䡁䅑䅡求䡁䅑兡橂䍁䅁䅣祂䝁䄸䅚ㅂ䝁䅍䅤穂䍁䅁杚療䡁䅉䅉穂䝁䄸兡獂䍁䅁督あ䝁䅅杙灂䝁䅷兡㙂䝁䅅䅤灂䝁䄸杢獁䍁䅁杣求䝁䅫杢浂䝁䄸杣橂䝁䅕兢求䝁䄴䅤獁䍁䅁杚灂䝁䅷䅤祂䝁䅅䅤灂䝁䄸杢獁䍁䅁督求䡁䅁兙祂䝁䅅䅤灂䝁䄸杢獁䍁䅁党祂䝁䄸督灂䝁䄸杢杁䝁䅍睢畂䡁䅑杣療䝁䅷䅌杁䝁䅅杢歂䍁䅁督ㅂ䝁䅉兌穂䡁䅕杣浂䝁䅅睙求䍁䅁䅚祂䝁䅅兡畂䝁䅅睚求䍁䅷䅉桂䡁䅍䅉㍂䝁䅕䅢獂䍁䅁兙穂䍁䅁䅚祂䝁䅅兡畂䝁䅅睚求䍁䅁睚祂䝁䅅䅤求䡁䅍䅉桂䝁䄴䅚杁䝁䄸䅤潂䝁䅕杣杁䡁䅁杣療䝁䅑兤橂䡁䅑督畁䍁䅁兓畂䍁䅁兙歂䝁䅑兡あ䝁䅫睢畂䍁䅷䅉あ䝁䅧党杁䝁䅍睢瑂䡁䅁兙畂䡁䅫䅉睂䡁䅉睢㉂䝁䅫䅚求䡁䅍䅉兂䙁䅙睑杁䝁䅧兤楂䡁䅍䅌杁䡁䅉兤楂䝁䅉党祂䍁䅁督獂䝁䅕党㉂䝁䅕督獁䍁䅁兙畂䝁䅑䅉穂䡁䅑兙灂䝁䄴䅢求䡁䅍督瑁䡁䅍䅤求䝁䅕䅢杁䝁䅉兙畂䝁䅑督畁䍁䅁兓あ䍁䅁睢浂䝁䅙党祂䡁䅍䅉灂䡁䅑督杁䡁䅁杣療䝁䅑兤橂䡁䅑督杁䝁䅙睢祂䍁䅁杢療䝁䄴兌祂䝁䅕督灂䝁䅑党畂䡁䅑兡桂䝁䅷䅌杁䡁䅉党穂䝁䅫䅚求䝁䄴䅤灂䝁䅅䅢獁䍁䅁兙湂䡁䅉兡橂䡁䅕䅢あ䡁䅕杣求䍁䅷䅉桂䝁䄴䅚杁䝁䅫杢浂䡁䅉兙穂䡁䅑杣ㅂ䝁䅍䅤ㅂ䡁䅉党杁䝁䅅䅣睂䝁䅷兡橂䝁䅅䅤灂䝁䄸杢穂䍁䅁䅤潂䡁䅉睢ㅂ䝁䅣䅡杁䝁䅅䅉畂䝁䅕䅤㍂䝁䄸杣牂䍁䅁睢浂䍁䅁䅚灂䡁䅍䅤祂䝁䅫杙ㅂ䡁䅑兡療䝁䄴䅉橂䝁䅕杢あ䝁䅕杣穂䍁䄴䅉䉂䝁䅑杤桂䝁䄴睙求䝁䅑䅉䕂䡁䅉兙灂䝁䄴兙湂䝁䅕䅉呂䡁䅫督あ䝁䅕兢穂䍁䅷䅉䩂䝁䄴睙畁䍁䅁兡畂䝁䅍睢祂䡁䅁睢祂䝁䅅䅤求䝁䅑䅉灂䝁䄴䅉硁䑁䅫李㉁䍁䅁兙畂䝁䅑䅉灂䡁䅍䅉潂䝁䅕兙歂䡁䅅兤桂䡁䅉䅤求䡁䅉党歂䍁䅁兡畂䍁䅁䅓灂䝁䅷䅢灂䝁䅅杣歂䍁䅷䅉偂䝁䅧兡療䍁䄴䅁汃允䅁杋䅁䍁䅧兓畂䡁䅙兙獂䝁䅫䅚杁䕁䅫䅚求䝁䄴䅤灂䝁䅙兡求䡁䅉克䅁䍁䅅䅁啁䅁䅁兓剂䑁䅧李㑁䑁䅣免穁䑁䅍䅁⽁允䅁䅌䅁䍁䅧兓畂䡁䅙兙獂䝁䅫䅚杁䙁䅑兡瑂䝁䅕䅉兂䝁䅕杣灂䝁䄸䅚灁䅁䅁䅩䅁䕁䅙䅁䝂䝁䅫杣桂䝁䄴䅉啂䝁䅕睙潂䝁䄴睢獂䝁䄸睚㕂䍁䅁睒祂䝁䄸兤睂䍁䅁睑療䡁䅉䅣療䡁䅉兙あ䝁䅫睢畂䅁䅁眳䅁䕁䵧䅁塂䝁䅫䅢獂䝁䅑兙畂䍁䅁睒祂䝁䄸兤睂䍁䅷䅉䩂䝁䄴睙畁䍁䅷䅉あ䝁䄸睚求䡁䅑䅡求䡁䅉䅉㍂䝁䅫䅤潂䍁䅁兡あ䡁䅍䅉穂䡁䅕杙穂䝁䅫䅚灂䝁䅅杣灂䝁䅕督獁䍁䅁䅣祂䝁䄸杤灂䝁䅑党穂䍁䅁䅣祂䝁䄸杚求䡁䅍督灂䝁䄸杢桂䝁䅷䅌杁䡁䅑党橂䝁䅧杢灂䝁䅍兙獂䍁䅷䅉桂䝁䄴䅚杁䝁䅍睢畂䡁䅍兤獂䡁䅑兡畂䝁䅣䅉穂䝁䅕杣㉂䝁䅫睙求䡁䅍䅉睂䡁䅉兡瑂䝁䅅杣灂䝁䅷入杁䝁䅫杢杁䡁䅑䅡求䍁䅁兖畂䝁䅫䅤求䝁䅑䅉呂䡁䅑兙あ䝁䅕督畁䍁䅁兓あ䍁䅁睢睂䝁䅕杣桂䡁䅑党穂䍁䅁兡畂䍁䅁䅤㍂䝁䄸䅉穂䝁䅕睚瑂䝁䅕杢あ䡁䅍䅌杁䕁䅕杢求䡁䅉睚㕂䍁䅷䅉桂䝁䄴䅚杁䕁䅕杢湂䝁䅫杢求䝁䅕杣灂䝁䄴睚杁䝁䅅杢歂䍁䅁睑療䝁䄴督ㅂ䝁䅷䅤灂䝁䄴睚畁䍁䅁䅖潂䝁䅕䅉䙂䝁䄴党祂䝁䅣入杁䡁䅍党湂䝁䄰党畂䡁䅑䅉療䝁䅙杚求䡁䅉督杁䝁䅍睢瑂䡁䅁杣求䝁䅧党畂䡁䅍兡㉂䝁䅕䅉桂䡁䅕䅚灂䡁䅑䅉桂䝁䄴䅚杁䡁䅍兤祂䡁䅙党㕂䡁䅍䅌杁䡁䅁杣療䝁䅣杣桂䝁䄰䅉歂䝁䅕督灂䝁䅣杢杁䝁䅅杢歂䍁䅁兡瑂䡁䅁䅢求䝁䄰党畂䡁䅑兙あ䝁䅫睢畂䍁䅷䅉瑂䝁䅅督あ䝁䅕杣杁䡁䅁䅢桂䝁䄴杢灂䝁䄴睚獁䍁䅁䅚求䝁䄰兙畂䝁䅑䅉祂䝁䅕䅚ㅂ䝁䅍䅤灂䝁䄸杢獁䍁䅁睚祂䝁䅫䅚杁䝁䄸䅣あ䝁䅫兢灂䡁䅯兙あ䝁䅫睢畂䍁䅷䅉楂䝁䅕杢橂䝁䅧兢桂䡁䅉睡灂䝁䄴睚杁䝁䅅杢桂䝁䅷入穂䝁䅕督獁䍁䅁䅚求䡁䅍兡湂䝁䄴䅉求䝁䄴睚灂䝁䄴党求䡁䅉兡畂䝁䅣䅌杁䝁䅍睢畂䡁䅍䅤祂䡁䅕睙あ䝁䅫睢畂䍁䅁兢桂䝁䄴兙湂䝁䅕兢求䝁䄴䅤獁䍁䅁䅣求䡁䅉杚療䡁䅉兢桂䝁䄴睙求䍁䅁睙療䝁䄴䅤祂䝁䅅睙あ䝁䅫杢湂䍁䅷䅉灂䝁䄴督あ䝁䅅䅢獂䝁䅅䅤灂䝁䄸杢獁䍁䅁兙獂䡁䅑党祂䝁䄴兙あ䝁䅫杤求䍁䅁杚灂䝁䄴兙畂䝁䅍兡畂䝁䅣䅌杁䝁䄰党桂䡁䅍兤祂䝁䅕兢求䝁䄴䅤杁䝁䅅杢歂䍁䅁杤求䡁䅉兡浂䝁䅫睙桂䡁䅑兡療䝁䄴䅉穂䝁䅕杣㉂䝁䅫睙求䡁䅍䅌杁䝁䅅杢歂䍁䅁督療䝁䅙䅤㍂䝁䅅杣求䍁䅁兙畂䝁䅑䅉歂䝁䅅䅤桂䍁䅁兙畂䝁䅅䅢㕂䡁䅑兡橂䡁䅍䅌杁䝁䅅督杁䡁䅣党獂䝁䅷䅉桂䡁䅍䅉求䝁䄴党祂䝁䅣入杁䝁䅍睢畂䡁䅍兤獂䡁䅑兡畂䝁䅣䅉桂䝁䄴䅚杁䝁䅕杢湂䝁䅫杢求䝁䅕杣灂䝁䄴睚獁䍁䅁䅤ㅂ䡁䅉杢牂䝁䅕入杁䝁䅙兙橂䝁䅫䅢灂䡁䅑入杁䝁䅅杢歂䍁䅁兡畂䝁䅙杣桂䡁䅍䅤祂䡁䅕睙あ䡁䅕杣求䍁䅁䅣祂䝁䄸条求䝁䅍䅤穂䍁䅷䅉桂䝁䄴䅚杁䝁䅍兤穂䡁䅑睢瑂䝁䅕杣杁䡁䅍兤睂䡁䅁睢祂䡁䅑䅉穂䝁䅕杣㉂䝁䅫睙求䡁䅍杌杁䙁䅑䅡求䍁䅁兒畂䝁䅣兡畂䝁䅕党祂䝁䅫杢湂䍁䅁兙畂䝁䅑䅉䑂䝁䄸杢穂䡁䅕䅢あ䝁䅫杢湂䍁䅁督求䝁䅣兢求䝁䄴䅤杁䡁䅁杣療䡁䅙兡歂䝁䅕督杁䝁䅉兤灂䝁䅷䅚灂䝁䄴睚杁䝁䅅杢歂䍁䅁督桂䝁䅙党あ䡁䅫䅌杁䝁䅍兡あ䡁䅫䅉求䝁䄴睚灂䝁䄴党求䡁䅉兡畂䝁䅣䅉桂䝁䄴䅚杁䝁䅍睢歂䝁䅕䅉求䝁䄴杚療䡁䅉睙求䝁䄰党畂䡁䅑䅌杁䝁䅑党㉂䝁䅕䅢療䡁䅁兢求䝁䄴䅤杁䡁䅁䅢桂䝁䄴䅉祂䝁䅕杤灂䝁䅕睤杁䝁䅅杢歂䍁䅁兡畂䡁䅍䅣求䝁䅍䅤灂䝁䄸杢獁䍁䅁䅚灂䡁䅍兙穂䡁䅑党祂䍁䅁杣求䝁䅍睢㉂䝁䅕杣㕂䍁䅷䅉湂䝁䅕睢あ䝁䅕睙潂䝁䄴兡橂䝁䅅䅢杁䝁䅅杢歂䍁䅁党桂䡁䅉䅤潂䡁䅅兤桂䝁䅳党杁䝁䅕杢湂䝁䅫杢求䝁䅕杣灂䝁䄴睚獁䍁䅁䅣獂䝁䅅杢畂䝁䅫杢湂䍁䅁兙畂䝁䅑䅉穂䡁䅕杣㉂䝁䅕入灂䝁䄴睚獁䍁䅁睙療䝁䄴䅤祂䝁䅅睙あ䍁䅁督あ䝁䅅杚浂䍁䅁督ㅂ䡁䅁䅣療䡁䅉䅤獁䍁䅁䅣祂䝁䄸睚祂䝁䅅兢杁䝁䅅杢歂䍁䅁睙療䝁䄴督あ䡁䅉兤橂䡁䅑兡療䝁䄴䅉瑂䝁䅅杢桂䝁䅣党瑂䝁䅕杢あ䍁䅷䅉穂䡁䅑杣ㅂ䝁䅍䅤ㅂ䡁䅉兙獂䍁䅁党畂䝁䅣兡畂䝁䅕党祂䝁䅫杢湂䍁䅷䅉あ䡁䅉兙畂䡁䅍䅣療䡁䅉䅤桂䡁䅑兡療䝁䄴䅉桂䝁䄴䅚杁䡁䅑杣桂䝁䅙杚灂䝁䅍䅉求䝁䄴睚灂䝁䄴党求䡁䅉兡畂䝁䅣䅌杁䝁䅅杢歂䍁䅁睤桂䡁䅑党祂䍁䅁杣求䡁䅍睢ㅂ䡁䅉睙求䡁䅍䅉穂䝁䅕杣㉂䝁䅫睙求䡁䅍杌杁䙁䅑䅡灂䡁䅍䅉穂䝁䅕睚瑂䝁䅕杢あ䍁䅁兙獂䡁䅍睢杁䝁䄸杚浂䝁䅕杣穂䍁䅁䅚灂䡁䅍䅤祂䝁䅫睙あ䍁䅁兙歂䝁䄰兡畂䝁䅫督あ䡁䅉兙あ䝁䅫睢畂䍁䅷䅉浂䝁䅫杢桂䝁䄴睙灂䝁䅅䅢杁䝁䅍睢畂䡁䅍兤獂䡁䅑兡畂䝁䅣䅌杁䝁䅅杢歂䍁䅁杚求䝁䅑党祂䝁䅅䅢杁䝁䅍睢瑂䡁䅁䅢灂䝁䅅杢橂䝁䅕䅉穂䝁䅕杣㉂䝁䅫睙求䡁䅍杌杁䕁䅫䅤杁䡁䅍党祂䡁䅙党穂䍁䅁䅣ㅂ䝁䅉䅢灂䝁䅍䅉桂䝁䄴䅚杁䝁䅣睢㉂䝁䅕杣畂䝁䄰党畂䡁䅑兙獂䍁䅁兙湂䝁䅕杢橂䝁䅫党穂䍁䅷䅉灂䝁䄴睙獂䡁䅕䅚灂䝁䄴睚杁䝁䅍兡あ䝁䅫党穂䍁䅷䅉橂䝁䄸兤畂䡁䅑兡求䡁䅍䅌杁䡁䅉党歂䝁䅕杤求䝁䅷睢睂䝁䄰党畂䡁䅑䅉桂䝁䅣党畂䝁䅍兡求䡁䅍䅌杁䡁䅣兙あ䝁䅕杣杁䝁䅑兡穂䡁䅑杣灂䝁䅍䅤穂䍁䅷䅉穂䝁䅍䅡療䝁䄸䅢杁䝁䅑兡穂䡁䅑杣灂䝁䅍䅤穂䍁䅷䅉桂䝁䄴䅚杁䡁䅕杢灂䡁䅙党祂䡁䅍兡あ䝁䅫党穂䑁䅳䅉灂䝁䄴杤求䡁䅍䅤療䡁䅉䅉桂䝁䄴䅚杁䝁䄰兤畂䝁䅫睙灂䡁䅁兙獂䍁䅁睢㍂䝁䄴党歂䍁䅁党畂䝁䅕杣湂䡁䅫䅉ㅂ䡁䅑兡獂䝁䅫䅤灂䝁䅕督㝁䍁䅁督あ䝁䅅䅤求䍁䅁兙畂䝁䅑䅉浂䝁䅕䅚求䡁䅉兙獂䍁䅁兙湂䝁䅕杢橂䝁䅫党穂䑁䅳䅉桂䝁䄴䅚杁䝁䅍睢瑂䝁䄰党祂䝁䅍兡桂䝁䅷䅉桂䝁䄴䅚杁䝁䅫杢歂䡁䅕督あ䡁䅉兡桂䝁䅷䅉浂䝁䅫杣瑂䡁䅍䅌杁䝁䅅督杁䡁䅣党獂䝁䅷䅉桂䡁䅍䅉㉂䝁䅅杣灂䝁䄸兤穂䍁䅁睢あ䝁䅧党祂䍁䅁督睂䝁䅕睙灂䝁䅅䅢杁䝁䅑兡穂䡁䅑杣灂䝁䅍䅤穂䍁䅁兙畂䝁䅑䅉桂䝁䅣党畂䝁䅍兡求䡁䅍杌杁䙁䅑䅡求䍁䅁睙療䝁䄰䅣桂䝁䄴入杁䡁䅣兙穂䍁䅁杚療䡁䅕杢歂䝁䅕䅚杁䝁䅫杢杁䑁䅅兏㉁䑁䅑䅉桂䝁䄴䅚杁䝁䅫督杁䝁䅧党桂䝁䅑兣ㅂ䝁䅅杣あ䝁䅕杣求䝁䅑䅉灂䝁䄴䅉䉂䝁䄴兙潂䝁䅕兡瑂䍁䅷䅉䑂䝁䅅䅢灂䝁䅙睢祂䝁䄴兡桂䍁䄴䅁慃䅁䅁䅄䅁䕁䅅兒䑂䕁䄸兔䅁䡁䅍䅁奁䅁䅁兓剂䑁䅅䅍ぁ䑁䅑䅏㕁䑁䅫兏㉁䅁䅁杣䅅䵁䝯䅁䉂䕁䅕睑偂䕁䄰䅌杁䡁䅑睢湂䝁䅕䅤潂䝁䅕杣杁䡁䅣兡あ䝁䅧䅉灂䡁䅑督杁䡁䅍兤楂䡁䅍兡歂䝁䅫兙祂䝁䅫党穂䍁䅷䅉睂䡁䅉睢㉂䝁䅫䅚求䡁䅍䅉睂䡁䅉睢浂䝁䅕督穂䝁䅫睢畂䝁䅅䅢杁䝁䅫杢浂䡁䅉兙穂䡁䅑杣ㅂ䝁䅍䅤ㅂ䡁䅉党杁䝁䅍睢畂䡁䅍兤獂䡁䅑兡畂䝁䅣䅉穂䝁䅕杣㉂䝁䅫睙求䡁䅍䅉㍂䝁䄸杣獂䝁䅑睤灂䝁䅑党畁䍁䅁兓あ䍁䅁睢睂䝁䅕杣桂䡁䅑党穂䍁䅁兡畂䍁䅁䅤潂䡁䅉党求䍁䅁督求䝁䅣兢求䝁䄴䅤穂䑁䅯䅉䉂䝁䄰党祂䝁䅫睙桂䡁䅍䅌杁䕁䅫杢あ䝁䅕杣畂䝁䅅䅤灂䝁䄸杢桂䝁䅷䅌杁䝁䅅杢歂䍁䅁兑䙂䕁䅍睔乂䍁䅁睑桂䡁䅁兡あ䝁䅅䅢畁䍁䅁䅖潂䝁䅕䅉橂䝁䄸兢睂䝁䅅杢㕂䍁䅁睢浂䝁䅙党祂䡁䅍䅉睂䝁䅷兙畂䝁䄴兡畂䝁䅣䅌杁䝁䅍睢畂䡁䅍兤獂䡁䅑兡畂䝁䅣䅌杁䝁䅅杣橂䝁䅧兡あ䝁䅕睙あ䡁䅕杣桂䝁䅷䅉桂䝁䄴䅚杁䝁䅕杢湂䝁䅫杢求䝁䅕杣灂䝁䄴睚杁䝁䅑党穂䝁䅫睚畂䍁䅷䅉橂䝁䄸杢穂䡁䅑杣ㅂ䝁䅍䅤灂䝁䄸杢杁䝁䅅杢歂䍁䅁䅣祂䝁䄸睚祂䝁䅅兢杁䝁䄰兙畂䝁䅅睚求䝁䄰党畂䡁䅑䅌杁䝁䅅杢歂䍁䅁兡畂䡁䅙党穂䡁䅑兢求䝁䄴䅤杁䝁䅅杢歂䍁䅁䅚求䡁䅙党獂䝁䄸䅣瑂䝁䅕杢あ䍁䅁督求䡁䅉杤灂䝁䅍党穂䍁䅁䅤療䍁䅁䅣ㅂ䝁䅉䅢灂䝁䅍䅉桂䝁䄴䅚杁䡁䅁杣灂䡁䅙兙あ䝁䅕䅉橂䝁䅷兡求䝁䄴䅤穂䍁䄴䅉䩂䡁䅑䅉灂䡁䅍䅉桂䝁䅷督療䍁䅁兡畂䡁䅙睢獂䡁䅙党歂䍁䅁兡畂䍁䅁䅤潂䝁䅕䅉灂䝁䄴杤求䡁䅍䅤瑂䝁䅕杢あ䍁䅁兙畂䝁䅑䅉歂䝁䅕杤求䝁䅷睢睂䝁䄰党畂䡁䅑䅉療䝁䅙䅉祂䝁䅕兙獂䍁䅁党穂䡁䅑兙あ䝁䅕䅉睂䡁䅉睢煂䝁䅕睙あ䡁䅍杌杁䕁䅫杢杁䝁䅅䅚歂䝁䅫䅤灂䝁䄸杢獁䍁䅁䅤潂䝁䅕䅉橂䝁䄸兢睂䝁䅅杢㕂䍁䅁䅣祂䝁䄸杤灂䝁䅑党穂䍁䅁睙療䝁䄴督あ䡁䅉兤橂䡁䅑兡療䝁䄴䅉穂䝁䅕杣㉂䝁䅫睙求䡁䅍䅌杁䝁䅫杢橂䝁䅷兤歂䝁䅫杢湂䍁䅁杙ㅂ䝁䅫䅢歂䝁䅫杢湂䍁䅁睙療䝁䄴督あ䡁䅉兤橂䡁䅑兡療䝁䄴䅉桂䝁䄴䅚杁䝁䅕杢求䡁䅉睚㕂䍁䅷䅉桂䝁䄴䅚杁䝁䅫杢浂䡁䅉兙穂䡁䅑杣ㅂ䝁䅍䅤ㅂ䡁䅉党杁䝁䅅杢歂䍁䅁兡畂䝁䅑兤穂䡁䅑杣灂䝁䅅䅢杁䝁䅍睢畂䡁䅍䅤祂䡁䅕睙あ䝁䅫睢畂䍁䄴䅉䩂䡁䅑䅉穂䝁䅕杣㉂䝁䅕督杁䡁䅑杣桂䝁䄴督睂䝁䄸杣あ䝁䅅䅤灂䝁䄸杢獁䍁䅁睤桂䡁䅑党祂䍁䅷䅉湂䝁䄸杤求䡁䅉杢瑂䝁䅕杢あ䍁䅷䅉浂䝁䅅睙灂䝁䅷兡あ䝁䅫党穂䍁䅷䅉求䝁䄴杤灂䡁䅉睢畂䝁䄰党畂䡁䅑兙獂䍁䅷䅉桂䝁䄴䅚杁䝁䅕杢求䡁䅉睚㕂䍁䅁督求䝁䅍䅤療䡁䅉督畁䍁䅁䅖潂䝁䅕䅉橂䝁䄸兢睂䝁䅅杢㕂䍁䅁睤桂䡁䅍䅉浂䝁䄸杣瑂䝁䅕杣獂䡁䅫䅉牂䝁䄴睢㍂䝁䄴䅉桂䡁䅍䅉䉂䕁䅕睑偂䕁䄰䅉啂䝁䅕睙潂䝁䄴睢獂䝁䄸睚㕂䍁䅁睑療䡁䅉䅣療䡁䅉兙あ䝁䅫睢畂䍁䅁兙畂䝁䅑䅉橂䝁䅧兙畂䝁䅣党歂䍁䅁兡あ䡁䅍䅉畂䝁䅅兢求䍁䅁䅤療䍁䅁兑䙂䕁䅍睔乂䍁䅁兡畂䍁䅁杓桂䝁䄴兤桂䡁䅉入杁䑁䅉䅍硁䑁䅕杌杁䕁䅅兒䑂䕁䄸兔杁䡁䅣兙穂䍁䅁兡畂䝁䅍睢祂䡁䅁睢祂䝁䅅䅤求䝁䅑䅉灂䝁䄴䅉硁䑁䅫䅏睁䍁䅁兙畂䝁䅑䅉灂䡁䅍䅉潂䝁䅕兙歂䡁䅅兤桂䡁䅉䅤求䡁䅉党歂䍁䅁兡畂䍁䅁䅒桂䝁䅷䅢桂䡁䅍䅌杁䙁䅑党㑂䝁䅅督畁䅁䅁䅫䅁䉁䅁䅁䉂䕁䅫兔㙁䕁䅧睕乂䅁䅁䅏䅁䩁䔴䅁䑂䝁䅅督橂䝁䅅䅚求䡁䅍䅉䩂䝁䄴睙畁䍁䅁䅣祂䝁䄸䅚ㅂ䝁䅍党穂䍁䅷䅉橂䝁䄸杢㉂䝁䅕杣あ䡁䅍䅌杁䝁䅅杢歂䍁䅁兢桂䡁䅉睡求䡁䅑督杁䡁䅁兙橂䝁䅳兙湂䝁䅫杢湂䍁䅁兙畂䝁䅑䅉あ䝁䅫督穂䡁䅕党杁䡁䅁杣療䝁䅑兤橂䡁䅑督杁䝁䅫杢杁䕁䅍兙畂䝁䅅䅚桂䍁䅁兙畂䝁䅑䅉あ䝁䅧党杁䙁䅕杢灂䡁䅑党歂䍁䅁睕あ䝁䅅䅤求䡁䅍杌杁䙁䅑䅡求䍁䅁睙療䝁䄰䅣桂䝁䄴入杁䝁䄸䅣求䡁䅉兙あ䝁䅕督杁䡁䅑䅡祂䝁䄸兤湂䝁䅧䅉あ䝁䅧杣求䝁䅕䅉穂䝁䅕睚瑂䝁䅕杢あ䡁䅍杏杁䕁䅍睢畂䡁䅑兙灂䝁䄴党祂䝁䅉睢桂䡁䅉䅚獁䍁䅁睕睂䝁䅕睙灂䝁䅅䅢あ䡁䅫䅉兂䡁䅉睢歂䡁䅕睙あ䡁䅍䅌杁䝁䅅杢歂䍁䅁䅖灂䡁䅍督ㅂ䝁䅕䅉兂䝁䅅䅣求䡁䅉督畁䍁䅁兓あ䍁䅁睢浂䝁䅙党祂䡁䅍䅉㉂䝁䅅杣灂䝁䄸兤穂䍁䅁䅣桂䝁䅍睡桂䝁䅣兡畂䝁䅣䅉穂䝁䄸䅢ㅂ䡁䅑兡療䝁䄴督杁䝁䅅杢歂䍁䅁䅤灂䡁䅍督ㅂ䝁䅕䅉睂䡁䅉睢歂䡁䅕睙あ䡁䅍䅉橂䝁䄸兢睂䡁䅉兡穂䝁䅕䅚杁䝁䄸杚杁䡁䅉党橂䡁䅫睙獂䝁䅕䅚杁䝁䅙兡楂䝁䅕杣穂䑁䅳䅉あ䝁䅫督穂䡁䅕党杁䡁䅁兙睂䝁䅕杣穂䍁䅷䅉橂䝁䄸兢睂䡁䅉兡穂䝁䅫杢湂䍁䅁䅣桂䡁䅉党畂䡁䅑䅉祂䝁䄸䅢獂䡁䅍䅉療䝁䅙䅉㉂䝁䅫杣湂䝁䅫杢杁䝁䅅杢歂䍁䅁杣求䝁䅍入橂䝁䅷党歂䍁䅁杚灂䝁䅉杣求䡁䅍睏杁䡁䅍䅣求䝁䅍兡桂䝁䅷䅤㕂䍁䅁䅣祂䝁䄸䅚ㅂ䝁䅍䅤穂䍁䅷䅉灂䝁䄴睙獂䡁䅕䅚灂䝁䄴睚杁䡁䅕杢橂䝁䄸兙あ䝁䅕䅚杁䡁䅉党橂䡁䅫睙獂䝁䅕䅚杁䝁䅉睢㑂䝁䅉睢桂䡁䅉䅚穂䑁䅳䅉桂䝁䄴䅚杁䝁䅍睢畂䡁䅑兙灂䝁䄴党祂䝁䅉睢桂䡁䅉䅚穂䍁䄴䅉䩂䡁䅑䅉桂䝁䅷督療䍁䅁党畂䝁䅣兙湂䝁䅕督杁䝁䅫杢杁䡁䅑䅡求䍁䅁杣求䝁䅍睢㉂䝁䅕杣㕂䍁䅁兙畂䝁䅑䅉祂䝁䅕睙㕂䝁䅍䅢灂䝁䄴睚杁䝁䅅睙あ䝁䅫杤灂䡁䅑兡求䡁䅍杌杁䕁䅍兙穂䝁䅍兙歂䝁䅕督杁䕁䅫杢橂䍁䄴䅉㍂䝁䅅督杁䝁䅫杢橂䝁䄸杣睂䝁䄸杣桂䡁䅑党歂䍁䅁兡畂䍁䅁免㕁䑁䅙䅎杁䝁䅅杢歂䍁䅁兡穂䍁䅁䅡求䝁䅅䅚硂䡁䅕兙祂䡁䅑党祂䝁䅕䅚杁䝁䅫杢杁䕁䅳兡畂䝁䅣督求䡁䅫䅉䝂䝁䅅䅢獂䡁䅍䅌杁䕁䅍兙畂䝁䅅䅚桂䍁䄴䅁瑄䅁䅁䅩䄸䙁䅅兤桂䝁䄴䅤桂䍁䅁睕求䡁䅉杤灂䝁䅍党穂䍁䅷䅉䩂䝁䄴睙畁䍁䅁睢浂䝁䅙党祂䡁䅍䅉灂䝁䄴杚祂䝁䅅督あ䡁䅉兤橂䡁䅑兤祂䝁䅕䅉穂䝁䄸䅢ㅂ䡁䅑兡療䝁䄴督杁䝁䅙睢祂䍁䅁䅤潂䝁䅕䅉求䝁䅷党橂䡁䅑杣灂䝁䅍䅉桂䝁䄴䅚杁䝁䅣兙穂䍁䅁兤あ䝁䅫䅢灂䡁䅑入獁䍁䅁杣求䝁䄴党㍂䝁䅅杙獂䝁䅕䅉求䝁䄴党祂䝁䅣入獁䍁䅁睙療䝁䄰兢ㅂ䝁䄴兡橂䝁䅅䅤灂䝁䄸杢穂䍁䅷䅉睂䝁䅫䅣求䝁䅷兡畂䝁䅕䅌杁䝁䅅杢歂䍁䅁党畂䝁䅕杣湂䡁䅫䅉灂䝁䄴䅚ㅂ䡁䅍䅤祂䝁䅫党穂䍁䅁兡畂䍁䅁䅤潂䝁䅕䅉噂䝁䄴兡あ䝁䅕䅚杁䙁䅍䅤桂䡁䅑党穂䍁䅷䅉䑂䝁䅅杢桂䝁䅑兙獁䍁䅁兑ㅂ䡁䅍䅤祂䝁䅅䅢灂䝁䅅䅌杁䝁䅅杢歂䍁䅁兡畂䡁䅑党祂䝁䄴兙あ䝁䅫睢畂䝁䅅䅢獂䡁䅫杌杁䙁䅑䅡求䍁䅁睙療䝁䄰䅣桂䝁䄴入婁䡉䅍䅉䙂䝁䅷党橂䡁䅑杣灂䝁䅍䅉兂䝁䄸睤求䡁䅉䅉䩂䝁䄴杚祂䝁䅅督あ䡁䅉兤橂䡁䅑兤祂䝁䅕䅉呂䝁䄸䅢ㅂ䡁䅑兡療䝁䄴督杁䡁䅍党湂䝁䄰党畂䡁䅑䅉求䝁䄴睚桂䝁䅣党穂䍁䅁兡畂䍁䅁䅤潂䝁䅕䅉歂䝁䅕督灂䝁䅣杢獁䍁䅁䅣祂䝁䄸睙ㅂ䡁䅉党瑂䝁䅕杢あ䍁䅷䅉橂䝁䄸杢穂䡁䅑杣ㅂ䝁䅍䅤灂䝁䄸杢獁䍁䅁兤睂䝁䅣杣桂䝁䅑党獁䍁䅁杣求䡁䅁兙灂䡁䅉䅌杁䝁䅅杢歂䍁䅁兢桂䝁䅫杢あ䝁䅕杢桂䝁䄴睙求䍁䅁睢浂䍁䅁党獂䝁䅕睙あ䡁䅉兡橂䍁䅁䅣療䡁䅣党祂䍁䅁䅤祂䝁䅅杢穂䝁䄰兡穂䡁䅍兡療䝁䄴䅉桂䝁䄴䅚杁䝁䅑兡穂䡁䅑杣灂䝁䅉兤あ䝁䅫睢畂䍁䅁兡畂䝁䅙杣桂䡁䅍䅤祂䡁䅕睙あ䡁䅕杣求䍁䅁兙畂䝁䅑䅉穂䡁䅕杙穂䡁䅑兙あ䝁䅫睢畂䍁䅁杚桂䝁䅍兡獂䝁䅫䅤灂䝁䅕督㝁䍁䅁兡畂䡁䅍䅤桂䝁䅷䅢桂䡁䅑兡療䝁䄴䅌杁䝁䄰兙灂䝁䄴䅤求䝁䄴兙畂䝁䅍党獁䍁䅁兙畂䝁䅑䅉ㅂ䡁䅁睚祂䝁䅅䅚求䍁䅁睢浂䍁䅁党獂䝁䅕睙あ䡁䅉兡橂䍁䅁䅣療䡁䅣党祂䍁䅁兡畂䝁䅙杣桂䡁䅍䅤祂䡁䅕睙あ䡁䅕杣求䍁䅁䅣祂䝁䄸条求䝁䅍䅤穂䑁䅳䅉灂䝁䄴督あ䝁䅅䅢獂䝁䅅䅤灂䝁䄸杢杁䝁䄸杚杁䡁䅍兢桂䡁䅉䅤杁䝁䅣杣灂䝁䅑䅉あ䝁䅕睙潂䝁䄴睢獂䝁䄸睚灂䝁䅕督杁䝁䄸杢杁䝁䅕䅢求䝁䅍䅤祂䝁䅫睙杁䡁䅁睢㍂䝁䅕杣杁䝁䄴党あ䡁䅣睢祂䝁䅳督㝁䍁䅁兙畂䝁䅑䅉歂䝁䅕督灂䝁䅣杢獁䍁䅁兡畂䡁䅍䅤桂䝁䅷䅢桂䡁䅑兡療䝁䄴䅌杁䝁䄰兙灂䝁䄴䅤求䝁䄴兙畂䝁䅍党獁䍁䅁兙畂䝁䅑䅉祂䝁䅕䅣桂䝁䅫杣杁䝁䄸杚杁䝁䅍睢瑂䝁䄰党祂䝁䅍兡桂䝁䅷䅉桂䝁䄴䅚杁䝁䅫杢歂䡁䅕督あ䡁䅉兡桂䝁䅷䅉㍂䝁䅫杣灂䝁䄴睚穂䍁䄴䅉啂䝁䅧兡穂䍁䅁督求䝁䅣兢求䝁䄴䅤杁䝁䄸杚浂䝁䅕杣穂䍁䅁兙㉂䝁䅫兙あ䝁䅫睢畂䑁䅳䅉求䝁䄰党祂䝁䅣党畂䝁䅍入杁䡁䅉党穂䡁䅑睢祂䝁䅅䅤灂䝁䄸杢㝁䍁䅁兙畂䝁䅑䅉療䡁䅑䅡求䡁䅉䅉求䝁䄴睚灂䝁䄴党求䡁䅉兡畂䝁䅣䅉桂䝁䄴䅚杁䡁䅑党橂䝁䅧杢灂䝁䅍兙獂䍁䅁督求䡁䅉杤灂䝁䅍党穂䑁䅳䅉歂䝁䅕督灂䝁䅣杢杁䝁䅅杢歂䍁䅁睙療䝁䄴督あ䡁䅉兤橂䡁䅑兡療䝁䄴䅉穂䝁䄸䅢ㅂ䡁䅑兡療䝁䄴督杁䡁䅑睢杁䡁䅣兡祂䝁䅕䅢灂䝁䄴党杁䝁䅅杢歂䍁䅁睤灂䡁䅉党獂䝁䅕督穂䍁䅁睙療䝁䄰兢ㅂ䝁䄴兡橂䝁䅅䅤灂䝁䄸杢穂䍁䅷䅉橂䝁䅅杙獂䝁䅕䅉瑂䡁䅕䅢あ䝁䅫兌穂䡁䅫督あ䝁䅕兢杁䝁䄸䅣求䡁䅉兙あ䝁䄸杣穂䍁䅷䅉桂䝁䄴䅚杁䝁䄸䅤潂䝁䅕杣杁䝁䅍兤穂䡁䅑睢瑂䝁䅕杣穂䑁䅳䅉桂䝁䄴䅚杁䡁䅑杣桂䝁䅫杢灂䝁䄴睚杁䝁䅙睢祂䍁䅁党獂䝁䅕睙あ䡁䅉兡橂䍁䅁睤療䡁䅉睡求䡁䅉督獁䍁䅁兙穂䍁䅁睤求䝁䅷䅢杁䝁䅅督杁䡁䅑杣桂䝁䅫杢灂䝁䄴睚杁䝁䅙睢祂䍁䅁䅤潂䝁䅕䅉湂䝁䅅督杁䝁䅑兡穂䡁䅑杣灂䝁䅉兤あ䝁䅫睢畂䍁䅁兙畂䝁䅑䅉橂䝁䄸兢瑂䡁䅕杢灂䝁䅍兙あ䝁䅫睢畂䡁䅍䅉灂䝁䄴䅚ㅂ䡁䅍䅤祂䝁䅫党穂䍁䄴䅉䩂䡁䅑督杁䙁䅉党畂䝁䅕睤桂䝁䅉䅢求䍁䅁兒畂䝁䅕杣湂䡁䅫䅉䩂䝁䄴杚祂䝁䅅督あ䡁䅉兤橂䡁䅑兤祂䝁䅕䅉呂䝁䄸䅢ㅂ䡁䅑兡療䝁䄴督杁䡁䅍党湂䝁䄰党畂䡁䅑䅉灂䡁䅍䅉灂䝁䄴杤療䝁䅷杤求䝁䅑䅉灂䝁䄴䅉求䝁䄴睚灂䝁䄴党求䡁䅉兡畂䝁䅣䅌杁䡁䅁杣療䝁䅍兤祂䝁䅕兢求䝁䄴䅤獁䍁䅁睙療䝁䄴督あ䡁䅉兤橂䡁䅑兡療䝁䄴䅌杁䡁䅉党睂䝁䅅兡祂䍁䅷䅉桂䝁䄴䅚杁䝁䄰兙灂䝁䄴䅤求䝁䄴兙畂䝁䅍党杁䝁䄸杚杁䡁䅣兡畂䝁䅑䅌杁䡁䅍睢獂䝁䅅杣獁䍁䅁兙畂䝁䅑䅉潂䡁䅫䅚祂䝁䄸䅣療䡁䅣党祂䍁䅁睚求䝁䄴党祂䝁䅅䅤灂䝁䄸杢杁䝁䅙兙橂䝁䅫䅢灂䡁䅑兡求䡁䅍䅌杁䝁䅅督杁䡁䅣党獂䝁䅷䅉桂䡁䅍䅉楂䝁䅅䅤あ䝁䅕杣㕂䍁䅁督あ䝁䄸杣桂䝁䅣党杁䝁䅙兙橂䝁䅫䅢灂䡁䅑兡求䡁䅍睏杁䝁䅅杢歂䍁䅁党畂䝁䅣兡畂䝁䅕党祂䝁䅫杢湂䍁䅁兙畂䝁䅑䅉橂䝁䄸杢穂䡁䅑杣ㅂ䝁䅍䅤灂䝁䄸杢杁䡁䅍党祂䡁䅙兡橂䝁䅕督杁䝁䅙睢祂䍁䅁督ㅂ䝁䅉督あ䝁䅅䅤灂䝁䄸杢穂䍁䅁兙畂䝁䅑䅉穂䡁䅣兡あ䝁䅍䅡㕂䝁䅅杣歂䡁䅍䅌杁䡁䅑杣桂䝁䄴督瑂䝁䅫督穂䝁䅫睢畂䍁䅷䅉桂䝁䄴䅚杁䝁䄸䅤潂䝁䅕杣杁䝁䅕䅢求䝁䅍䅤祂䝁䅫睙桂䝁䅷䅉灂䝁䄴杚祂䝁䅅督あ䡁䅉兤橂䡁䅑兤祂䝁䅕督畁䍁䅁䅖潂䝁䅕䅉橂䝁䄸兢睂䝁䅅杢㕂䉁杫督杁䙁䅕杢歂䝁䅕杣湂䡁䅉睢ㅂ䝁䄴䅚杁䙁䅕䅤灂䝁䅷兡あ䡁䅫䅉桂䝁䄴䅚杁䕁䅫杢浂䡁䅉兙穂䡁䅑杣ㅂ䝁䅍䅤ㅂ䡁䅉党杁䙁䅍睢獂䡁䅕䅤灂䝁䄸杢穂䍁䅁督求䝁䅣兢求䝁䄴䅤杁䝁䄸杚浂䝁䅕杣穂䍁䅁䅚求䡁䅍兡湂䝁䄴䅌杁䝁䅕杢湂䝁䅫杢求䝁䅕杣灂䝁䄴睚獁䍁䅁䅣祂䝁䄸睙ㅂ䡁䅉党瑂䝁䅕杢あ䍁䅷䅉橂䝁䄸杢穂䡁䅑杣ㅂ䝁䅍䅤灂䝁䄸杢獁䍁䅁兤睂䝁䅣杣桂䝁䅑党獁䍁䅁杣求䡁䅁兙灂䡁䅉䅌杁䝁䅅杢歂䍁䅁兢桂䝁䅫杢あ䝁䅕杢桂䝁䄴睙求䍁䅁督求䡁䅉杤灂䝁䅍党穂䍁䅁杚療䡁䅉䅉畂䝁䅅䅤ㅂ䡁䅉兙獂䍁䅁睚桂䡁䅍䅉穂䡁䅫督あ䝁䅕兢穂䍁䅁杚療䡁䅉䅉湂䝁䅅督杁䡁䅕䅤灂䝁䅷兡あ䡁䅫䅉橂䡁䅕督あ䝁䄸兢求䡁䅉督㝁䍁䅁杚桂䝁䅉杣灂䝁䅍兙あ䝁䅫睢畂䍁䅁督求䡁䅉杤灂䝁䅍党穂䍁䅁杚療䡁䅉䅉睂䝁䅫䅣求䝁䅷兡畂䝁䅕䅉穂䡁䅕䅣睂䝁䄸杣あ䍁䅁督㕂䡁䅍䅤求䝁䄰督杁䝁䅅杢歂䍁䅁督あ䡁䅉兤橂䡁䅑兤祂䝁䅕督杁䝁䅅杢歂䍁䅁杚桂䝁䅍兡獂䝁䅫䅤灂䝁䅕督㝁䍁䅁兙畂䝁䅑䅉求䝁䄴睚灂䝁䄴党求䡁䅉兡畂䝁䅣䅉桂䝁䄴䅚杁䝁䅍睢畂䡁䅍䅤祂䡁䅕睙あ䝁䅫睢畂䍁䅁督求䡁䅉杤灂䝁䅍党穂䍁䅁杚療䡁䅉䅉睂䝁䅫䅣求䝁䅷兡畂䝁䅕䅉桂䝁䄴䅚杁䡁䅍䅤療䡁䅉兙湂䝁䅕䅉穂䡁䅫督あ䝁䅕兢穂䍁䅷䅉桂䝁䄴䅚杁䝁䅍睢瑂䡁䅁杣求䡁䅍督療䡁䅉䅉桂䝁䄴䅚杁䡁䅁兤瑂䡁䅁䅉穂䡁䅑兙あ䝁䅫睢畂䡁䅍杌杁䙁䅑䅡求䍁䅁睙療䝁䄰䅣桂䝁䄴入杁䡁䅣兙穂䍁䅁杚療䡁䅉兢求䡁䅉䅢㕂䍁䅁睡畂䝁䄸睤畂䍁䅁兙穂䍁䅁杒桂䝁䅉兙獂䍁䅁睑療䝁䄴督あ䡁䅉兤橂䡁䅑兡療䝁䄴䅌杁䕁䅫杢橂䍁䄴䅉桂䝁䄴䅚杁䝁䅍䅡桂䝁䄴睚求䝁䅑䅉灂䡁䅑督杁䝁䄴兙瑂䝁䅕䅉あ䝁䄸䅉剂䡁䅕兙畂䡁䅑兙杁䙁䅍党祂䡁䅙兡橂䝁䅕督獁䍁䅁兓畂䝁䅍杌杁䝁䅫杢杁䕁䄴睢㉂䝁䅕兢楂䝁䅕杣杁䑁䅅兏㕁䑁䅣杌杁䙁䅑䅡求䍁䅁睙療䝁䄰䅣桂䝁䄴入杁䡁䅣兙穂䍁䅁兡畂䝁䅍睢祂䡁䅁睢祂䝁䅅䅤求䝁䅑䅉灂䝁䄴䅉硁䑁䅫兏㍁䍁䅁兙畂䝁䅑䅉灂䡁䅍䅉潂䝁䅕兙歂䡁䅅兤桂䡁䅉䅤求䡁䅉党歂䍁䅁兡畂䍁䅁䅓療䡁䅕督あ䝁䄸杢獁䍁䅁䅖求䡁䅧兙穂䍁䄴䅁敃允䅁杅䅁䕁䅉杕兂䍁䅁兓畂䝁䅍杌䅁䉁䉷䅁允䅁䅁兑呂䙁䅧杏䭂䕁䅧䅗䅁䍁䅳䅁允䅁䅁兑呂䙁䅧杏卂䙁䅣睑䅁䉁䅳䅁奃杄䅁兑あ䝁䅳兡畂䡁䅍杕灄䝁䅅䅢灂䡁䅍䅉療䡁䅁党祂䝁䅅䅤求䡁䅍䅉桂䡁䅍䅉桂䝁䄴䅉灂䝁䄴䅤求䝁䅣杣桂䡁䅑党歂䍁䅁䅣祂䝁䄸杚求䡁䅍督灂䝁䄸杢桂䝁䅷䅉穂䝁䅕杣㉂䝁䅫睙求䡁䅍䅉桂䝁䄴䅚杁䡁䅁杣療䝁䅯党橂䡁䅑䅉瑂䝁䅅杢桂䝁䅣党瑂䝁䅕杢あ䍁䅁睙療䝁䄰䅣桂䝁䄴入杁䡁䅣睢祂䝁䅷䅚㍂䝁䅫䅚求䍁䄴䅉䩂䡁䅑䅉療䡁䅁党祂䝁䅅䅤求䡁䅍䅉あ䝁䅧杣療䡁䅕睚潂䍁䅁督灂䡁䅧䅉穂䝁䅕睚瑂䝁䅕杢あ䡁䅍杏杁䕁䅕杢湂䝁䅫杢求䝁䅕杣灂䝁䄴睚杁䙁䅍党祂䡁䅙兡橂䝁䅕督獁䍁䅁杔ㅂ䝁䅍䅢求䝁䅅杣獁䍁䅁睔流䕁䄰䅌杁䕁䅷兡畂䡁䅧睢畂䍁䅷䅉䵂䙁䅍䅖䱂䍁䅁䅕祂䝁䄸条求䝁䅍䅤穂䍁䅷䅉桂䝁䄴䅚杁䕁䅍兙睂䝁䅫䅤桂䝁䅷杌杁䙁䅑䅡求䍁䅁兒畂䝁䅣兡畂䝁䅕党祂䝁䅫杢湂䍁䅁睕求䡁䅉杤灂䝁䅍党穂䍁䅁督求䝁䅣兢求䝁䄴䅤杁䡁䅁杣療䡁䅙兡歂䝁䅕督杁䝁䅍睢畂䡁䅍兤獂䡁䅑兙畂䝁䅍入獁䍁䅁党畂䝁䅣兡畂䝁䅕党祂䝁䅫杢湂䍁䅷䅉歂䝁䅕督灂䝁䅣杢獁䍁䅁兙畂䝁䅑䅉睂䡁䅉睢煂䝁䅕睙あ䍁䅁兢桂䝁䄴兙湂䝁䅕兢求䝁䄴䅤杁䡁䅍党祂䡁䅙兡橂䝁䅕督杁䝁䅙睢祂䍁䅁䅤潂䝁䅕䅉あ䡁䅉兙畂䡁䅍䅣療䡁䅉䅤桂䡁䅑兡療䝁䄴䅌杁䝁䅉兤灂䝁䅷䅚灂䝁䄴睚杁䝁䅅杢歂䍁䅁䅣獂䝁䅅睙求䡁䅍䅌杁䝁䅑党浂䝁䅕杢穂䝁䅕䅌杁䡁䅣兙あ䝁䅕杣獁䍁䅁兡畂䝁䅑兤穂䡁䅑杣灂䝁䅅䅢獁䍁䅁兢灂䝁䄴党祂䝁䅅䅢穂䍁䅁兙畂䝁䅑䅉瑂䝁䅕䅤桂䝁䅷䅌杁䝁䅅杢歂䍁䅁䅣療䡁䅣党祂䍁䅁兙畂䝁䅑䅉祂䝁䅕杢求䡁䅣兙楂䝁䅷党穂䍁䅁督求䝁䅍䅤療䡁䅉督畁䍁䅁䅖潂䝁䅕䅉佂䡁䅕睙獂䝁䅕兙祂䍁䅁督求䝁䅣兢求䝁䄴䅤杁䝁䄸杚浂䝁䅕杣穂䍁䅁督求䡁䅉杤灂䝁䅍党穂䍁䅁杚療䡁䅉䅉橂䝁䅷兡求䝁䄴䅤穂䍁䅁兙橂䡁䅉睢穂䡁䅍䅉あ䝁䅧党杁䝁䄴兤橂䝁䅷党桂䡁䅉䅉獂䝁䅫杚求䍁䅁睙㕂䝁䅍䅢求䍁䅁睙療䝁䄴督ㅂ䝁䅷䅤桂䝁䄴睙㕂䍁䅷䅉浂䝁䅫党獂䝁䅑䅌杁䡁䅑党橂䝁䅧杢療䝁䅷睢湂䡁䅫䅌杁䡁䅍䅣桂䡁䅉党杁䡁䅁兙祂䡁䅑督獁䍁䅁杣求䝁䅅睙あ䝁䄸杣杁䡁䅍兤睂䡁䅁睢祂䡁䅑䅌杁䝁䅅杢歂䍁䅁䅚求䝁䅍睢瑂䝁䄰兡穂䡁䅍兡療䝁䄴兡畂䝁䅣䅉桂䝁䄴䅚杁䡁䅣兙穂䡁䅑党杁䝁䄰兙畂䝁䅅睚求䝁䄰党畂䡁䅑䅉穂䝁䅕杣㉂䝁䅫睙求䡁䅍䅌杁䝁䅅督杁䡁䅣党獂䝁䅷䅉桂䡁䅍䅉求䝁䄴睚灂䝁䄴党求䡁䅉兡畂䝁䅣䅉穂䝁䅕杣㉂䝁䅫睙求䡁䅍睏杁䝁䅅杢歂䍁䅁杢求䡁䅣兌楂䡁䅕兡獂䝁䅑䅉桂䝁䄴䅚杁䝁䅙兤獂䝁䅷䅉祂䝁䅕杚ㅂ䡁䅉杙灂䡁䅍䅡瑂䝁䅕杢あ䍁䅁督求䡁䅉杤灂䝁䅍党穂䍁䅁杚療䡁䅉䅉祂䝁䅕兙橂䡁䅑睢祂䡁䅍杌杁䙁䅑䅡求䍁䅁睔流䕁䄰䅉穂䝁䅕睚瑂䝁䅕杢あ䍁䅁䅣祂䝁䄸杤灂䝁䅑党穂䍁䅁睢睂䝁䅕杣桂䡁䅑兡療䝁䄴督獁䍁䅁兢桂䝁䅫杢あ䝁䅕杢桂䝁䄴睙求䍁䅷䅉桂䝁䄴䅚杁䝁䅅督穂䝁䅕䅤杁䝁䄰兙畂䝁䅅睚求䝁䄰党畂䡁䅑䅉穂䝁䄸䅢ㅂ䡁䅑兡療䝁䄴督杁䝁䅙睢祂䍁䅁杙祂䝁䅫䅚湂䝁䅕督獁䍁䅁䅤祂䝁䅅杢穂䝁䅫䅤杁䡁䅍入穂䡁䅑党瑂䡁䅍䅌杁䝁䅧兡湂䝁䅧睤桂䡁䅫督獁䍁䅁兙畂䝁䅑䅉楂䡁䅕兡獂䝁䅑兡畂䝁䅣督杁䝁䅅杢歂䍁䅁兡畂䝁䅑兤穂䡁䅑杣灂䝁䅅䅢杁䡁䅁䅢桂䝁䄴䅤穂䍁䅷䅉桂䡁䅍䅉㍂䝁䅕䅢獂䍁䅁兙穂䍁䅁䅣療䡁䅍䅤桂䝁䅷䅉穂䝁䅕杣㉂䝁䅫睙求䡁䅍䅉桂䝁䄴䅚杁䡁䅍䅡灂䡁䅁督畁䍁䅁䅖潂䝁䅕䅉䵂䝁䅫杢㑂䝁䄸杢杁䡁䅍党湂䝁䄰党畂䡁䅑䅉睂䡁䅉睢㉂䝁䅫䅚求䡁䅍䅉求䝁䄴睚灂䝁䄴党求䡁䅉兡畂䝁䅣䅌杁䡁䅁杣療䝁䅍兤祂䝁䅕兢求䝁䄴䅤獁䍁䅁兢桂䝁䄴兙湂䝁䅕兢求䝁䄴䅤獁䍁䅁兙畂䝁䅑䅉橂䝁䄸杢穂䡁䅑杣ㅂ䝁䅍䅤灂䝁䄸杢杁䡁䅍党祂䡁䅙兡橂䝁䅕督杁䝁䅙睢祂䍁䅁党㑂䝁䅕睙ㅂ䡁䅑兡療䝁䄴䅉療䝁䅙䅉桂䝁䅷䅤求䡁䅉杢桂䡁䅑兡㉂䝁䅕䅉橂䡁䅕杣祂䝁䅕杢あ䍁䅁䅣療䡁䅣党祂䍁䅁督ㅂ䝁䅉督あ䝁䅅䅤灂䝁䄸杢穂䍁䅷䅉灂䝁䄴睙獂䡁䅕䅚灂䝁䄴睚杁䝁䅕䅥睂䝁䅅杢穂䝁䅫睢畂䡁䅍䅉桂䝁䄴䅚杁䝁䅕䅢求䝁䅍䅤祂䝁䅫杚灂䝁䅍兙あ䝁䅫睢畂䍁䅁䅤潂䡁䅉睢ㅂ䝁䅣䅡杁䡁䅉党睂䝁䅕䅤灂䡁䅑兡㉂䝁䅕䅉䙂䙁䅁睑杁䝁䄸杚浂䝁䅕杣灂䝁䄴睚穂䍁䅁杚療䡁䅉䅉㉂䝁䅅杣灂䝁䄸兤穂䍁䅁兢桂䡁䅉睡求䡁䅑督獁䍁䅁兡畂䝁䅍䅢ㅂ䝁䅑兡畂䝁䅣䅉ㅂ䡁䅑兡獂䝁䅫䅤灂䝁䅕督獁䍁䅁杣求䝁䄴党㍂䝁䅅杙獂䝁䅕督獁䍁䅁睙療䝁䄴杤求䝁䄴䅤灂䝁䄸杢桂䝁䅷䅉湂䝁䅕杢求䡁䅉兙あ䝁䅫睢畂䍁䅷䅉あ䡁䅉兙畂䡁䅍䅣療䡁䅉䅤桂䡁䅑兡療䝁䄴䅌杁䝁䅅杢歂䍁䅁䅚桂䡁䅑兙杁䝁䅍党畂䡁䅑党祂䡁䅍杌杁䙁䅑䅡求䍁䅁䅔呂䙁䅑睓杁䙁䅁杣療䝁䅯党橂䡁䅑督杁䡁䅍党湂䝁䄰党畂䡁䅑䅉ㅂ䝁䄴䅚求䡁䅉䅤桂䝁䅳党穂䍁䅁睙療䝁䄴督あ䡁䅉兤橂䡁䅑兡療䝁䄴䅉橂䝁䄸杢あ䡁䅉兙橂䡁䅑督杁䝁䅙睢祂䍁䅁䅤潂䝁䅕䅉瑂䝁䅅督穂䍁䅁䅤祂䝁䅅杢穂䝁䅫䅤杁䡁䅁杣療䝁䅯党橂䡁䅑督畁䍁䅁䅖潂䝁䅕䅉䑂䝁䅅䅣灂䡁䅑兙獂䍁䅁督求䝁䅣兢求䝁䄴䅤杁䝁䅕杢湂䝁䅅睚求䡁䅍䅉灂䝁䄴䅉あ䝁䅧党杁䝁䅑党㉂䝁䅕䅢療䡁䅁兡畂䝁䅣䅉療䝁䅙䅉睂䡁䅉睢煂䝁䅕睙あ䡁䅍䅌杁䝁䅅杣祂䝁䅅杢湂䝁䅫杢湂䍁䅁杚灂䝁䄴兙畂䝁䅍兡畂䝁䅣䅌杁䝁䅫杢㉂䝁䅕督あ䝁䅫杢湂䍁䅁兡畂䍁䅁党硂䡁䅕兡あ䡁䅫䅌杁䡁䅕杢歂䝁䅕杣あ䝁䅅睡灂䝁䄴睚杁䝁䅍睢瑂䡁䅁䅢求䡁䅧䅉浂䝁䅫杢桂䝁䄴睙灂䝁䅅䅢杁䝁䄰睢歂䝁䅕䅢灂䝁䄴睚獁䍁䅁兙畂䝁䅑䅉瑂䝁䅅杢桂䝁䅣兡畂䝁䅣䅉灂䡁䅑督杁䝁䅫杢浂䡁䅉兙穂䡁䅑杣ㅂ䝁䅍䅤ㅂ䡁䅉党杁䝁䅫杢㉂䝁䅕督あ䝁䄰党畂䡁䅑督獁䍁䅁督ㅂ䝁䅍䅡杁䝁䅅督杁䝁䅉杣灂䝁䅑睚求䡁䅍䅉桂䝁䄴䅚杁䝁䅧兡湂䝁䅧睤桂䡁䅫督獁䍁䅁兢桂䡁䅍督杁䡁䅑杣桂䝁䄴督灂䡁䅑䅉穂䡁䅫督あ䝁䅕兢穂䍁䅷䅉睂䝁䄸睤求䡁䅉䅉浂䝁䅅睙灂䝁䅷兡あ䝁䅫党穂䍁䅷䅉求䝁䄴党祂䝁䅣入杁䝁䅫杢浂䡁䅉兙穂䡁䅑杣ㅂ䝁䅍䅤ㅂ䡁䅉党獁䍁䅁睤桂䡁䅑党祂䍁䅁䅤祂䝁䅕兙あ䝁䄰党畂䡁䅑䅉睂䝁䅷兙畂䡁䅑督獁䍁䅁兙畂䝁䅑䅉穂䝁䄸睙灂䝁䅅䅢杁䝁䅫杢浂䡁䅉兙穂䡁䅑杣ㅂ䝁䅍䅤ㅂ䡁䅉党畁䍁䅁䅖潂䝁䅕䅉橂䝁䄸兢睂䝁䅅杢㕂䍁䅁睤桂䡁䅍䅉浂䝁䄸杣瑂䝁䅕杣獂䡁䅫䅉牂䝁䄴睢㍂䝁䄴䅉桂䡁䅍䅉呂䕁䄴睑瑁䕁䅷兙㉂䝁䅅䅢灂䝁䄴䅉䡂䡁䅉睢ㅂ䡁䅁䅉䩂䝁䄴睙畁䍁䅁兙畂䝁䅑䅉橂䝁䅧兙畂䝁䅣党歂䍁䅁兡あ䡁䅍䅉畂䝁䅅兢求䍁䅁䅤療䍁䅁兑あ䝁䅳兡畂䡁䅍杕灄䝁䅅䅢灂䡁䅍䅉灂䝁䄴䅉呂䝁䅕䅣あ䝁䅕兢楂䝁䅕杣杁䑁䅉䅍祁䑁䅍杌杁䕁䅅䅤牂䝁䅫杢穂䙁䅉儶桂䝁䅷兡穂䍁䅁睤桂䡁䅍䅉浂䝁䄸兤畂䝁䅑党歂䍁䅁兡畂䍁䅁免㕁䑁䅅免杁䝁䅅杢歂䍁䅁兡穂䍁䅁䅡求䝁䅅䅚硂䡁䅕兙祂䡁䅑党祂䝁䅕䅚杁䝁䅫杢杁䕁䄰睢畂䡁䅑杣求䝁䅅䅢獁䍁䅁睑桂䝁䄴兙歂䝁䅅杌䅁䩁䅙䅁䍃睄䅁兑啂䙁䅍䅉䑂䝁䄸杣睂䝁䄸杣桂䡁䅑兡療䝁䄴䅌杁䡁䅑睢湂䝁䅕䅤潂䝁䅕杣杁䡁䅣兡あ䝁䅧䅉灂䡁䅑督杁䡁䅍兤楂䡁䅍兡歂䝁䅫兙祂䝁䅫党穂䍁䅷䅉睂䡁䅉睢㉂䝁䅫䅚求䡁䅍䅉桂䡁䅕䅤療䝁䄰兙あ䝁䅫睢畂䍁䅁督療䝁䅷兤あ䝁䅫睢畂䡁䅍䅉㍂䝁䄸杣獂䝁䅑睤灂䝁䅑党畁䍁䅁䅖潂䝁䅕䅉橂䝁䄸兢睂䝁䅅杢㕂䍁䅁兡穂䍁䅁兙獂䡁䅍睢杁䝁䅫杢㉂䝁䄸䅢㉂䝁䅕䅚杁䝁䅫杢杁䡁䅁䅢桂䝁䄴杢灂䝁䄴睚獁䍁䅁䅚求䡁䅍兡湂䝁䄴兡畂䝁䅣䅌杁䝁䅉兤灂䝁䅷䅚灂䝁䄴睚獁䍁䅁睙療䝁䄰兢灂䡁䅍督灂䝁䄸杢灂䝁䄴睚獁䍁䅁兙畂䝁䅑䅉穂䝁䅕杣㉂䝁䅫睙灂䝁䄴睚杁䝁䅅兤あ䝁䄸兢桂䡁䅑党歂䍁䅁兢桂䝁䄴兤浂䝁䅅睙あ䡁䅕杣灂䝁䄴睚杁䝁䅅杢歂䍁䅁兙穂䡁䅍党瑂䝁䅉䅢㕂䍁䅁督㕂䡁䅍䅤求䝁䄰督獁䍁䅁兡畂䝁䅍䅢ㅂ䝁䅑兡畂䝁䅣䅉桂䡁䅕䅤療䝁䄰兙あ䝁䅫睢畂䍁䅁䅣祂䝁䄸䅚ㅂ䝁䅍䅤穂䍁䅁兙畂䝁䅑䅉あ䝁䅕督あ䍁䅁督療䝁䅷兤あ䝁䅫睢畂䡁䅍杌杁䕁䅫杢杁䝁䅅䅚歂䝁䅫䅤灂䝁䄸杢獁䍁䅁兡あ䍁䅁睢浂䝁䅙党祂䡁䅍䅉睂䡁䅉党瑁䝁䅅兤あ䝁䄸兢桂䡁䅑兡療䝁䄴䅉穂䝁䅕杣㉂䝁䅫睙求䡁䅍䅉橂䝁䄸兢睂䡁䅉兡穂䝁䅫杢湂䍁䅁䅚灂䡁䅍睙療䡁䅙党祂䡁䅫䅉桂䝁䄴䅚杁䝁䅅杢桂䝁䅷入穂䝁䅫督獁䍁䅁睙療䝁䄴睙求䡁䅁䅤杁䝁䅑党㉂䝁䅕䅢療䡁䅁兢求䝁䄴䅤獁䍁䅁督灂䝁䄰兤獂䝁䅅䅤灂䝁䄸杢獁䍁䅁兙畂䝁䅑䅉あ䝁䄸䅤桂䝁䅷䅉橂䝁䄸督あ䍁䅁睢浂䍁䅁睢㍂䝁䄴党祂䡁䅍䅡灂䡁䅁䅉瑂䝁䄸䅚求䝁䅷䅢灂䝁䄴睚㝁䍁䅁䅣療䡁䅍䅤杁䝁䅅兤あ䝁䄸兢桂䡁䅑兡療䝁䄴䅉穂䝁䅕杣㉂䝁䅫睙求䡁䅍䅌杁䝁䅫杢橂䝁䅷兤歂䝁䅫杢湂䍁䅁䅤祂䝁䅅兡畂䝁䅫杢湂䍁䅷䅉睂䡁䅉睢橂䝁䅕督穂䍁䅁睢睂䡁䅑兡瑂䝁䅫来桂䡁䅑兡療䝁䄴䅌杁䡁䅁杣求䡁䅙党畂䡁䅑兙あ䝁䅫杤求䍁䅁兢桂䝁䅫杢あ䝁䅕杢桂䝁䄴睙求䍁䅷䅉求䝁䄰党祂䝁䅣党畂䝁䅍入杁䝁䅅杢歂䍁䅁睢畂䍁䄰睙桂䝁䅷䅢杁䡁䅍兤睂䡁䅁睢祂䡁䅑䅌杁䡁䅍䅣桂䡁䅉党杁䡁䅁兙祂䡁䅑督獁䍁䅁杣求䡁䅑睢療䝁䅷兡畂䝁䅣䅌杁䡁䅉党あ䡁䅉睢浂䝁䅫䅤穂䍁䅷䅉桂䝁䄴䅚杁䝁䅕兣ㅂ䝁䅫䅣瑂䝁䅕杢あ䍁䅁杣求䝁䅷睢橂䝁䅅䅤灂䝁䄸杢㝁䍁䅁兙畂䝁䅑䅉橂䝁䄸杢あ䡁䅉兙橂䡁䅑䅉瑂䝁䅅杢ㅂ䝁䅙兙橂䡁䅑兤祂䝁䅫杢湂䍁䅁督求䡁䅉杤灂䝁䅍党穂䍁䅷䅉桂䡁䅍䅉㍂䝁䅕䅢獂䍁䅁兙穂䍁䅁兙浂䡁䅑党祂䍁䅁督桂䝁䅷党穂䍁䅁兙畂䝁䅑䅉穂䝁䅕杣㉂䝁䅫睙求䡁䅍杌杁䕁䅙兤祂䡁䅑䅡求䡁䅉䅌杁䡁䅑䅡求䍁䅁睙療䝁䄰䅣桂䝁䄴入杁䡁䅁杣療䡁䅙兡歂䝁䅕督杁䝁䅕杢湂䝁䅫杢求䝁䅕杣灂䝁䄴睚杁䝁䅑党穂䝁䅫睚畂䍁䅷䅉睂䡁䅉睢あ䝁䄸䅤㕂䡁䅁兡畂䝁䅣䅌杁䡁䅁杣療䝁䅍党穂䡁䅍䅉㉂䝁䅕杣灂䝁䅙兡橂䝁䅅䅤灂䝁䄸杢獁䍁䅁督睂䝁䅕睙灂䝁䅙兡橂䝁䅅䅤灂䝁䄸杢杁䡁䅣杣灂䡁䅑兡畂䝁䅣䅌杁䡁䅍睢浂䡁䅑睤桂䡁䅉党杁䝁䅅杢歂䍁䅁兢桂䝁䄴兤浂䝁䅅睙あ䡁䅕杣灂䝁䄴睚杁䡁䅁杣療䝁䅍党穂䡁䅍䅉橂䝁䄸杢あ䡁䅉睢獂䡁䅍䅉歂䝁䅕杤求䝁䅷睢睂䝁䄰党畂䡁䅑䅌杁䡁䅍䅤桂䝁䄴䅚桂䡁䅉䅚杁䝁䅅兤あ䝁䄸兢桂䡁䅑兡療䝁䄴䅉睂䡁䅉睢歂䡁䅕睙あ䡁䅍睌睂䝁䅷兙あ䝁䅙睢祂䝁䄰督獁䍁䅁党硂䡁䅕兡睂䝁䄰党畂䡁䅑䅉歂䝁䅕督灂䝁䅣杢杁䝁䅅杢歂䍁䅁杙ㅂ䝁䅫䅢歂䍁䅷䅉あ䝁䅧兡祂䝁䅑兌睂䝁䅅杣あ䡁䅫䅉求䡁䅅兤灂䡁䅁兢求䝁䄴䅤杁䡁䅅兤桂䝁䅷兡浂䝁䅫睙桂䡁䅑兡療䝁䄴䅌杁䡁䅁杣療䝁䅍兤祂䝁䅕兢求䝁䄴䅤杁䝁䅅杢歂䍁䅁兡畂䡁䅑党湂䡁䅉兙あ䝁䅫睢畂䍁䅷䅉桂䡁䅕䅤療䝁䄰兙あ䝁䅫睢畂䍁䅁督㕂䡁䅍䅤求䝁䄰䅉灂䝁䄴督あ䝁䅅䅢獂䝁䅅䅤灂䝁䄸杢獁䍁䅁䅣祂䝁䄸䅚ㅂ䝁䅍䅤杁䝁䅷兡畂䝁䅕䅉橂䝁䄸兢瑂䝁䅫督穂䝁䅫睢畂䝁䅫杢湂䍁䅷䅉㉂䝁䅅䅢灂䝁䅑兙あ䝁䅫睢畂䍁䅷䅉桂䝁䄴䅚杁䝁䅑睢橂䡁䅕兢求䝁䄴䅤桂䡁䅑兡療䝁䄴䅉穂䝁䅕杣㉂䝁䅫睙求䡁䅍杌杁䕁䅅䅚歂䝁䅫䅤灂䝁䄸杢桂䝁䅷䅢㕂䍁䅷䅉灂䡁䅑䅉療䝁䅙杚求䡁䅉督杁䡁䅙兙獂䡁䅕党杁䝁䅕杢湂䝁䅫杢求䝁䅕杣灂䝁䄴睚獁䍁䅁督ㅂ䡁䅁䅣獂䡁䅫䅉橂䝁䅧兙灂䝁䄴䅉瑂䝁䅅杢桂䝁䅣党瑂䝁䅕杢あ䍁䅷䅉桂䝁䄴䅚杁䝁䅫杢あ䝁䅕睚祂䝁䅅䅤灂䝁䄸杢杁䝁䅅杢歂䍁䅁兢桂䝁䄴兤浂䝁䅅睙あ䡁䅕杣灂䝁䄴睚杁䝁䅍兙睂䝁䅅杙灂䝁䅷兡あ䝁䅫党穂䍁䅷䅉桂䡁䅍䅉㍂䝁䅕䅢獂䍁䅁兙穂䍁䅁睢あ䝁䅧党祂䍁䅁兙ㅂ䡁䅑睢瑂䝁䅅䅤灂䝁䄸杢杁䡁䅁杣療䝁䅑兤橂䡁䅑督杁䝁䅅杢歂䍁䅁督療䝁䅷兤あ䝁䅫睢畂䡁䅍睏杁䝁䅅杢歂䍁䅁督療䝁䅙䅤㍂䝁䅅杣求䍁䅁兙畂䝁䅑䅉歂䝁䅫睚灂䡁䅑兙獂䍁䅁督療䝁䅷兤あ䝁䅫睢畂䡁䅍䅉橂䝁䄸兢睂䡁䅉兡穂䝁䅫杢湂䍁䅁睙療䝁䄴杢求䝁䅍䅤求䝁䅑䅉浂䝁䅅睙あ䝁䄸杣㕂䍁䅁杚獂䝁䄸睢祂䍁䅁兢桂䝁䄴兙湂䝁䅕兢求䝁䄴䅤杁䡁䅍入穂䡁䅑党瑂䡁䅍䅉あ䝁䄸䅉橂䝁䅅䅣あ䡁䅕杣求䍁䅷䅉桂䝁䄴兙獂䡁䅫来求䍁䅷䅉桂䝁䄴䅚杁䡁䅕督求䍁䅁杣求䝁䅅䅢杁䡁䅑兡瑂䝁䅕䅉瑂䝁䅅睙潂䝁䅫杢求䍁䅁䅣求䡁䅉杚療䡁䅉兢桂䝁䄴睙求䍁䅁䅚桂䡁䅑兙杁䡁䅑睢杁䡁䅑杣療䡁䅕杙獂䝁䅕督潂䝁䄸睢あ䍁䅷䅉歂䝁䅕䅢灂䡁䅙党祂䍁䅁䅣祂䝁䄸睙求䡁䅍督杁䝁䅅杢歂䍁䅁䅣祂䝁䄸䅚ㅂ䝁䅍䅤杁䡁䅍睢獂䡁䅕䅤灂䝁䄸杢穂䍁䅷䅉睂䡁䅉党㉂䝁䅕杢あ䍁䅁党硂䡁䅕兡睂䝁䄰党畂䡁䅑䅉歂䝁䄸睤畂䡁䅑兡瑂䝁䅕䅌杁䝁䅑杣灂䡁䅙党杁䝁䄸䅣求䡁䅉兙あ䝁䅫睢畂䝁䅅䅢杁䝁䅕杚浂䝁䅫睙灂䝁䅕杢橂䡁䅫䅌杁䝁䅅杢歂䍁䅁兤畂䝁䅷睢橂䝁䅳䅉睂䝁䅕杣浂䝁䄸杣瑂䝁䅅杢橂䝁䅕䅉浂䝁䄸杣杁䡁䅍兤穂䡁䅑兙灂䝁䄴兙楂䝁䅷党杁䡁䅁杣療䝁䅑兤橂䡁䅑兡療䝁䄴䅉灂䝁䄰䅣祂䝁䄸杤求䝁䄰党畂䡁䅑督畁䍁䅁兑啂䙁䅍䅉䑂䝁䄸杣睂䝁䄸杣桂䡁䅑兡療䝁䄴䅉穂䝁䅕杣㉂䝁䅕督杁䝁䅷兡浂䝁䅕䅉穂䝁䅍兡求䝁䄴睙求䡁䅍䅌杁䡁䅑杣桂䝁䄴督睂䝁䄸杣あ䝁䅅䅤灂䝁䄸杢杁䝁䅅杢歂䍁䅁兢療䝁䅉兡獂䝁䅫䅤㕂䍁䅷䅉橂䝁䄸杢穂䡁䅕兢求䡁䅉䅉睂䡁䅉睢歂䡁䅕睙あ䡁䅍䅌杁䝁䅙睢療䝁䅑䅉桂䝁䄴䅚杁䝁䅉党㉂䝁䅕杣桂䝁䅣党獁䍁䅁党獂䝁䅕睙あ䡁䅉睢畂䝁䅫睙穂䍁䅷䅉畂䡁䅕睙獂䝁䅕兙祂䍁䅷䅉睂䝁䅅睙牂䝁䅅睚灂䝁䄴睚獁䍁䅁睤桂䡁䅉党潂䝁䄸兤穂䝁䅫杢湂䍁䅁兙畂䝁䅑䅉歂䝁䅫督あ䡁䅉兡楂䡁䅕䅤灂䝁䄸杢獁䍁䅁兙畂䝁䅑䅉求䝁䄴党祂䝁䅣入杁䝁䄰兙祂䝁䅳党あ䡁䅍杌杁䙁䅑䅡求䍁䅁睙療䝁䄰䅣桂䝁䄴入杁䡁䅣兙穂䍁䅁杚療䡁䅉兢求䡁䅉䅢㕂䍁䅁睡畂䝁䄸睤畂䍁䅁兙穂䍁䅁兑啂䙁䅍䅉䉂䡁䅕䅤療䝁䄰兙あ䝁䅫睢畂䍁䅁䅖療䝁䄸䅢灂䝁䄴睚杁䙁䅍入穂䡁䅑党瑂䡁䅍䅉䩂䝁䄴睙畁䍁䅁兙畂䝁䅑䅉橂䝁䅧兙畂䝁䅣党歂䍁䅁兡あ䡁䅍䅉畂䝁䅅兢求䍁䅁䅤療䍁䅁兑啂䙁䅍䅉䑂䝁䄸杣睂䝁䄸杣桂䡁䅑兡療䝁䄴䅉灂䝁䄴䅉佂䝁䄸杤求䝁䄰杙求䡁䅉䅉祁䑁䅁杍祁䍁䄴䅉䉂䙁䅑睕杁䕁䅍睢祂䡁䅁睢祂䝁䅅䅤灂䝁䄸杢杁䡁䅣兙穂䍁䅁杚療䡁䅕杢歂䝁䅕䅚杁䝁䅫杢杁䑁䅅兏㍁䑁䅧䅉桂䝁䄴䅚杁䝁䅫督杁䝁䅧党桂䝁䅑兣ㅂ䝁䅅杣あ䝁䅕杣求䝁䅑䅉灂䝁䄴䅉䑂䝁䅅兢楂䡁䅉兡歂䝁䅣党獁䍁䅁睑桂䝁䄴兙歂䝁䅅杌䅁䵁䅣䅁坁䅁䅁兓剂䑁䅉睍㕁䑁䅕睎穁䑁䅍睎䅁䍁䉕䅁䥁䅁䅁杒剂䑁䅉䅁浂䅁䅁杆䅁䕁䅫兕穁䑁䅁䅎祁䑁䅉䅎硁䑁䅣䅁䍃允䅁䅑䅁䕁䅅䅚㉂䝁䅅杢橂䝁䅕䅚杁䕁䅑杣桂䝁䅫杢桂䝁䅣党杁䙁䅍入穂䡁䅑党瑂䡁䅍䅌杁䕁䅫杢橂䍁䄴䅁⽃䅁䅁来䄸䕁䄰兗卂䍁䅁睒祂䝁䄸兤睂䍁䅁兓畂䝁䅍杌獁䍁䅁䅤潂䡁䅉睢ㅂ䝁䅣䅡杁䝁䅫䅤穂䍁䅁督ㅂ䝁䅉督灂䝁䅑兡桂䡁䅉兡求䡁䅍䅌杁䡁䅁杣療䡁䅙兡歂䝁䅕督杁䝁䅕䅢求䝁䅍䅤祂䝁䅫睙桂䝁䅷䅉橂䝁䄸杢穂䡁䅑杣ㅂ䝁䅍䅤灂䝁䄸杢杁䡁䅍党祂䡁䅙兡橂䝁䅕督杁䝁䅫杢杁䡁䅑䅡求䍁䅁兖畂䝁䅫䅤求䝁䅑䅉呂䡁䅑兙あ䝁䅕督杁䝁䅅杢歂䍁䅁睑桂䝁䄴兙歂䝁䅅杌杁䕁䅫䅤杁䝁䄸䅣求䡁䅉兙あ䝁䅕督杁䡁䅑䅡祂䝁䄸兤湂䝁䅧䅉あ䡁䅣睢杁䡁䅍党湂䝁䄰党畂䡁䅑督㙁䍁䅁䅖祂䝁䅅杢穂䝁䄰兡穂䡁䅍兡療䝁䄴䅉桂䝁䄴䅚杁䕁䅑兡穂䡁䅑杣灂䝁䅉兤あ䝁䅫睢畂䍁䅷䅉桂䝁䄴䅚杁䕁䅍睢瑂䝁䄰党祂䝁䅍兡桂䝁䅷䅉桂䝁䄴䅚杁䕁䅫杢歂䡁䅕督あ䡁䅉兡桂䝁䅷杌杁䙁䅑䅡求䍁䅁䅖祂䝁䅅杢穂䝁䄰兡穂䡁䅍兡療䝁䄴䅉桂䝁䄴䅚杁䕁䅑兡穂䡁䅑杣灂䝁䅉兤あ䝁䅫睢畂䍁䅁督求䝁䅣兢求䝁䄴䅤杁䝁䄸杚浂䝁䅕杣穂䍁䅁兙杁䡁䅉兙畂䝁䅣党杁䝁䄸杚杁䡁䅍党祂䡁䅙兡橂䝁䅕督杁䝁䄸杢杁䝁䅕䅢求䝁䅍䅤祂䝁䅫睙杁䡁䅑杣桂䝁䄴督瑂䝁䅫督穂䝁䅫睢畂䍁䅁兙畂䝁䅑䅉歂䝁䅫督あ䡁䅉兡楂䡁䅕䅤灂䝁䄸杢杁䝁䄴党あ䡁䅣睢祂䝁䅳督獁䍁䅁兙畂䝁䅑䅉穂䡁䅕杙穂䡁䅑兙あ䝁䅫睢畂䍁䅁杚桂䝁䅍兡獂䝁䅫䅤灂䝁䅕督獁䍁䅁兡畂䝁䅍䅢ㅂ䝁䅑兡畂䝁䅣䅉歂䝁䅕督灂䝁䅣杢獁䍁䅁党畂䝁䅣兡畂䝁䅕党祂䝁䅫杢湂䍁䅷䅉睂䡁䅉睢橂䡁䅕杣求䝁䄰党畂䡁䅑䅌杁䝁䅍睢畂䡁䅍䅤祂䡁䅕睙あ䝁䅫睢畂䍁䅷䅉ㅂ䡁䅁睚祂䝁䅅䅚求䍁䅷䅉瑂䝁䅅兡畂䡁䅑党畂䝁䅅杢橂䝁䅕䅌杁䝁䅅杢歂䍁䅁杣求䡁䅁兙灂䡁䅉䅉穂䝁䅕杣㉂䝁䅫睙求䡁䅍䅉㍂䝁䅫䅤潂䍁䅁䅣祂䝁䅫兢桂䡁䅉入杁䝁䅙睢橂䡁䅕督杁䝁䄸杢杁䝁䅍睢畂䡁䅍䅤祂䡁䅕睙あ䝁䅫睢畂䍁䅷䅉瑂䝁䅅兡畂䡁䅑党畂䝁䅅杢橂䝁䅕䅌杁䝁䅅杢歂䍁䅁杣求䡁䅁兙灂䡁䅉䅉あ䝁䄸䅉橂䡁䅕督あ䝁䄸兢求䡁䅉督杁䝁䅫杢杁䡁䅑䅡求䍁䅁党獂䝁䅕睙あ䡁䅉兡橂䍁䅁兤あ䝁䅫䅢灂䡁䅑入杁䝁䅫杢歂䡁䅕督あ䡁䅉入㝁䍁䅁兙畂䝁䅑䅉穂䝁䅕杣㉂䝁䅫睙求䡁䅍䅌杁䝁䅫杢橂䝁䅷兤歂䝁䅫杢湂䍁䅁睙療䝁䄴督あ䡁䅉兤橂䡁䅑兡療䝁䄴䅉桂䝁䄴䅚杁䝁䄰兙灂䝁䄴䅤求䝁䄴兙畂䝁䅍党杁䝁䄸杚杁䝁䅧兡湂䝁䅧䅉㉂䝁䄸䅢あ䝁䅅睚求䍁䅁䅤祂䝁䅅杢穂䝁䄰兡穂䡁䅍兡療䝁䄴䅉獂䝁䅫杢求䡁䅍䅌杁䡁䅍兤楂䡁䅍䅤桂䡁䅑兡療䝁䄴督獁䍁䅁兙畂䝁䅑䅉獂䝁䄸睤求䡁䅉䅉㉂䝁䄸䅢あ䝁䅅睚求䍁䅁兤畂䝁䅑党祂䝁䅣杣療䡁䅕杢歂䍁䅁兙畂䝁䅑䅉療䡁䅙党祂䝁䅧党桂䝁䅑䅉歂䝁䅫督あ䡁䅉兡楂䡁䅕䅤灂䝁䄸杢杁䡁䅍入穂䡁䅑党瑂䡁䅍䅌杁䝁䅍䅢求䝁䅅杢杁䝁䅕杢求䡁䅉睚㕂䍁䅁䅣祂䝁䄸条求䝁䅍䅤穂䍁䅷䅉桂䝁䄴䅚杁䝁䅕䅢求䝁䅍䅤祂䝁䅫睙杁䡁䅙党潂䝁䅫睙獂䝁䅕䅉橂䝁䅧兙祂䝁䅣兡畂䝁䅣䅉灂䝁䄴杚祂䝁䅅督あ䡁䅉兤橂䡁䅑兤祂䝁䅕䅉穂䝁䅕杣㉂䝁䅫睙求䡁䅍䅌杁䝁䅅督杁䡁䅣党獂䝁䅷䅉桂䡁䅍䅉求䝁䄰党祂䝁䅣党畂䝁䅍入杁䡁䅉党穂䡁䅑睢祂䝁䅅䅤灂䝁䄸杢杁䡁䅍党祂䡁䅙兡橂䝁䅕督杁䝁䅫杢杁䡁䅉党穂䡁䅁睢畂䡁䅍党杁䡁䅑睢杁䝁䅧兤祂䡁䅉兡橂䝁䅅杢求䍁䅷䅉㍂䝁䅫䅢歂䝁䅙兡祂䝁䅕䅌杁䝁䅫睙求䍁䅷䅉療䡁䅉䅉療䡁䅑䅡求䡁䅉䅉祂䝁䅕䅢桂䡁䅑党歂䍁䅁䅚桂䝁䄰兙湂䝁䅕督畁䍁䅁䅖潂䝁䅫督杁䡁䅍党湂䝁䄰党畂䡁䅑䅉穂䝁䅕杣㉂䝁䅕督杁䝁䅅督杁䡁䅁杣灂䝁䄰党杁䝁䅍睢畂䡁䅑杣桂䝁䅍䅤療䡁䅉䅉あ䝁䄸䅉橂䡁䅕督あ䝁䄸兢求䡁䅉督獁䍁䅁督ㅂ䝁䅍䅡杁䝁䅅督杁䝁䅫杢㉂䝁䅕督あ䝁䄸杣瑁䝁䄸睤畂䝁䅕䅚杁䡁䅕䅤灂䝁䅷兡あ䝁䅫党穂䍁䅷䅉橂䝁䄸睢睂䝁䅕杣桂䡁䅑兡㉂䝁䅕督獁䍁䅁䅣祂䝁䅫杤桂䡁䅑党杁䝁䅑党㉂䝁䅕䅢療䡁䅁党祂䡁䅍䅌杁䝁䅣睢㉂䝁䅕杣畂䝁䄰党畂䡁䅑兌浂䡁䅕杢歂䝁䅕䅚杁䡁䅕䅤灂䝁䅷兡あ䝁䅫党穂䍁䅷䅉灂䝁䄴䅚求䡁䅁党畂䝁䅑党畂䡁䅑䅉睂䝁䄸睤求䡁䅉䅉睂䡁䅉睢歂䡁䅕睙求䡁䅉督獁䍁䅁兡畂䝁䅑党睂䝁䅕杢歂䝁䅕杢あ䍁䅁䅤祂䝁䅅杢穂䝁䄰兡穂䡁䅍兡療䝁䄴䅉橂䝁䄸兢睂䝁䅅杢灂䝁䅕督獁䍁䅁兡畂䝁䅑兤穂䡁䅑杣灂䝁䅅䅢杁䝁䅙兙橂䝁䅫䅢灂䡁䅑入杁䝁䄸睤畂䝁䅕杣穂䍁䅷䅉桂䝁䄴䅚杁䝁䄸䅤潂䝁䅕杣杁䝁䅍睢畂䡁䅑杣桂䝁䅍䅤療䡁䅉督畁䍁䅁䅖潂䝁䅕䅉䑂䝁䄸兢瑂䝁䅕杣橂䝁䅫兙獂䍁䅁兙畂䝁䅑䅉䩂䝁䄴䅚ㅂ䡁䅍䅤祂䝁䅫兙獂䍁䅁督求䝁䅣兢求䝁䄴䅤杁䡁䅁杣療䡁䅙兡歂䝁䅕督杁䝁䅅䅉祂䝁䅅杢湂䝁䅕䅉療䝁䅙䅉穂䝁䅕杣㉂䝁䅫睙求䡁䅍䅌杁䝁䅫杢橂䝁䅷兤歂䝁䅫杢湂䍁䅁䅚求䡁䅍兡湂䝁䄴䅌杁䝁䅫杢穂䡁䅑兙獂䝁䅷兙あ䝁䅫睢畂䍁䅷䅉瑂䝁䅅兡畂䡁䅑党畂䝁䅅杢橂䝁䅕䅌杁䝁䅅杢歂䍁䅁杣求䡁䅁兙灂䡁䅉䅉療䝁䅙䅉橂䝁䄸兢瑂䝁䅕杣橂䝁䅫兙獂䍁䅁兙畂䝁䅑䅉灂䝁䄴䅚ㅂ䡁䅍䅤祂䝁䅫兙獂䍁䅁睤灂䡁䅉兡畂䝁䅣睏杁䝁䅅杢歂䍁䅁兡畂䡁䅍䅤桂䝁䅷䅢桂䡁䅑兡療䝁䄴䅉療䝁䅙䅉灂䝁䄴䅤求䝁䅷䅢灂䝁䅣党畂䡁䅑䅉あ䡁䅉兙畂䡁䅍䅣療䡁䅉䅤桂䡁䅑兡療䝁䄴䅉穂䡁䅫督あ䝁䅕兢穂䍁䅷䅉祂䝁䄸兙歂䡁䅣兙㕂䍁䅁䅢灂䝁䅣䅡あ䝁䅫杢湂䍁䅷䅉桂䝁䄴䅚杁䡁䅍兡湂䝁䄴兙獂䝁䅫来桂䡁䅑兡療䝁䄴䅉浂䝁䄸杣杁䝁䅅兡祂䡁䅁睢祂䡁䅑督獁䍁䅁䅡療䡁䅍䅣灂䡁䅑兙獂䡁䅍䅌杁䝁䅑兙あ䝁䅅䅉橂䝁䅕杢あ䝁䅕杣穂䍁䅷䅉潂䝁䄸䅤求䝁䅷督獁䍁䅁督あ䝁䅅䅚灂䡁䅕兢穂䍁䅷䅉橂䝁䄸兢瑂䝁䅕杣橂䝁䅫兙獂䍁䅁兙畂䝁䅑䅉灂䝁䄴䅚ㅂ䡁䅍䅤祂䝁䅫兙獂䍁䅁杚桂䝁䅍兡獂䝁䅫䅤灂䝁䅕督獁䍁䅁睙獂䝁䅕兙畂䍁䅁党畂䝁䅕杣湂䡁䅫䅉睂䡁䅉睢煂䝁䅕睙あ䡁䅍䅌杁䝁䄰兙畂䡁䅕杚桂䝁䅍䅤ㅂ䡁䅉兡畂䝁䅣䅉睂䝁䅷兙畂䡁䅑督獁䍁䅁䅣祂䝁䄸睙求䡁䅍督灂䝁䄴睚杁䝁䅙兙橂䝁䅫䅢灂䡁䅑兡求䡁䅍䅌杁䡁䅣兙あ䝁䅕杣癁䡁䅣兙穂䡁䅑党瑁䡁䅣兙あ䝁䅕杣杁䡁䅑杣求䝁䅅䅤瑂䝁䅕杢あ䍁䅁杚桂䝁䅍兡獂䝁䅫䅤灂䝁䅕督獁䍁䅁兢灂䝁䄴兡畂䝁䅣䅉浂䝁䅅睙灂䝁䅷兡あ䝁䅫党穂䍁䅷䅉灂䝁䄴䅤求䝁䅷䅢灂䝁䅣党畂䡁䅑䅉あ䡁䅉兙畂䡁䅍䅣療䡁䅉䅤桂䡁䅑兡療䝁䄴䅉穂䡁䅫督あ䝁䅕兢穂䍁䅷䅉祂䝁䄸兙歂䡁䅣兙㕂䍁䅁䅢灂䝁䅣䅡あ䝁䅫杢湂䍁䅷䅉穂䝁䅫睚畂䝁䅅䅢灂䡁䅯兙あ䝁䅫睢畂䍁䅷䅉桂䝁䄴䅚杁䝁䅕䅢求䝁䅍䅤祂䝁䅫睙杁䡁䅙党潂䝁䅫睙獂䝁䅕䅉橂䝁䅧兙祂䝁䅣兡畂䝁䅣䅉灂䝁䄴杚祂䝁䅅督あ䡁䅉兤橂䡁䅑兤祂䝁䅕杌杁䙁䅑䅡灂䡁䅍䅉穂䝁䅕睚瑂䝁䅕杢あ䍁䅁督求䡁䅉杤求䡁䅍䅉湂䝁䅕杢求䡁䅉兙獂䍁䅁睙療䝁䄴䅤祂䝁䅅睙あ䝁䄸杣穂䍁䅷䅉橂䝁䄸兢瑂䝁䅕杣橂䝁䅫兙獂䍁䅁兙畂䝁䅑䅉灂䝁䄴䅚ㅂ䡁䅍䅤祂䝁䅫兙獂䍁䅁杚桂䝁䅍兡獂䝁䅫䅤㕂䍁䅁睢㍂䝁䄴党祂䡁䅍䅌杁䝁䅣睢㉂䝁䅕杣畂䝁䄰党畂䡁䅑兙獂䍁䅁兙湂䝁䅕杢橂䝁䅫党穂䍁䅷䅉桂䝁䄴䅚杁䝁䅑党㉂䝁䅕䅢療䡁䅁党祂䡁䅍杌杁䕁䄰兗卂䍁䅁睒祂䝁䄸兤睂䍁䅁兓畂䝁䅍杌杁䡁䅣兙穂䍁䅁杚療䡁䅕杢歂䝁䅕䅚杁䝁䅫杢杁䑁䅅䅏㕁䑁䅅䅉桂䝁䄴䅚杁䝁䅫督杁䝁䅧党桂䝁䅑兣ㅂ䝁䅅杣あ䝁䅕杣求䝁䅑䅉灂䝁䄴䅉啂䝁䅧睢祂䝁䄴䅤療䝁䄴䅌杁䕁䅍睢獂䝁䄸杣桂䝁䅑睢畁䅁䅁杯䅅䉁䅯䅁䩂䙁䅅睘啂䕁䄸䅖䉂䕁䅷睘卂䕁䅕杖䅁䕁䄸䅁十䅁䅁兓剂䑁䅧睎穁䑁䅫杍ぁ䅁䅁䅙䅅䑁䱷䅁䉂䝁䅑杤桂䝁䄴睙求䝁䅑䅉䕂䡁䅉兙灂䝁䄴兙湂䝁䅕䅉呂䡁䅫督あ䝁䅕兢穂䍁䅷䅉䩂䝁䄴睙畁䍁䅁䅚求䡁䅍兡湂䝁䄴督獁䍁䅁兢桂䝁䄴兤浂䝁䅅睙あ䡁䅕杣求䡁䅍䅌杁䝁䅅杢歂䍁䅁兢桂䡁䅉睡求䡁䅑督杁䡁䅑䅡求䡁䅉兢療䡁䅁䅢桂䡁䅍䅤灂䝁䅍䅉橂䝁䄸杣祂䡁䅕睚桂䡁䅑党歂䍁䅁䅣灂䡁䅁党穂䍁䅁兙畂䝁䅑䅉祂䝁䅕䅢桂䡁䅑党歂䍁䅁睤桂䡁䅑党祂䍁䅁兢桂䝁䄴兙湂䝁䅕兢求䝁䄴䅤杁䡁䅁杣療䝁䅑兤橂䡁䅑督杁䝁䅫杢杁䕁䄴睢祂䡁䅑䅡杁䕁䅅兢求䡁䅉兡橂䝁䅅䅉桂䝁䄴䅚杁䝁䅫杢あ䝁䅕杣畂䝁䅅䅤灂䝁䄸杢桂䝁䅷䅢㕂䍁䄴䅉啂䝁䅧党杁䝁䅍睢瑂䡁䅁兙畂䡁䅫䅉療䡁䅁党祂䝁䅅䅤求䡁䅍䅉あ䝁䅧杣療䡁䅕睚潂䍁䅁䅕灂䡁䅁党獁䍁䅁兓畂䡁䅑党祂䝁䄴兙あ䝁䅫睢畂䝁䅅䅢獁䍁䅁兓畂䝁䅙兡獂䡁䅑杣桂䡁䅑睢祂䍁䅷䅉桂䝁䄴䅚杁䕁䅅䅢獂䝁䅫党歂䍁䅁䅕祂䝁䄸䅚ㅂ䝁䅍䅤穂䍁䅁杊杁䕁䄸䅤潂䝁䅕杣杁䡁䅍党湂䝁䄰党畂䡁䅑督畁䍁䅁兓あ䍁䅁睢浂䝁䅙党祂䡁䅍䅉穂䝁䅫杢湂䝁䅷党獁䍁䅁䅚療䡁䅕杙獂䝁䅕䅌杁䝁䅅杢歂䍁䅁䅤祂䝁䅫䅣獂䝁䅕䅉㍂䝁䅅䅢獂䍁䅁睙療䡁䅉杣ㅂ䝁䅣兙あ䝁䅕䅚杁䡁䅁睢獂䡁䅫䅣祂䝁䄸䅣㕂䝁䅷党畂䝁䅕䅉桂䝁䄴䅚杁䡁䅁睢獂䡁䅫党あ䝁䅧入獂䝁䅕杢求䍁䅁䅣灂䡁䅁党穂䑁䅳䅉睂䝁䅷兙穂䡁䅑兡橂䍁䅁䅢求䝁䅅睙潂䝁䅙兡求䝁䅷䅚杁䝁䅍䅡桂䝁䄰杙求䡁䅉督杁䝁䅅杢歂䍁䅁督㕂䡁䅍䅤求䝁䄰督㝁䍁䅁兒慂䝁䅙䅢療䡁䅣䅉穂䡁䅫杢あ䝁䅧党あ䝁䅫睙杁䝁䅅睚湂䡁䅉党湂䝁䅅䅤求䍁䅁杙ㅂ䝁䄴䅚獂䝁䅕督㝁䍁䅁睤桂䡁䅍䅤求䡁䅣兙あ䝁䅕杣杁䡁䅁兤祂䝁䅫杚灂䝁䅍兙あ䝁䅫睢畂䍁䅁䅤潂䡁䅉睢ㅂ䝁䅣䅡杁䝁䄰党橂䝁䅧兙畂䝁䅫睙桂䝁䅷䅉桂䝁䅕杣桂䡁䅑兡療䝁䄴䅉㍂䝁䅅督あ䝁䅕睤桂䡁䅑党祂䍁䅁杚療䡁䅉䅉祂䝁䅕督灂䝁䅑党畂䡁䅑兡桂䝁䅷䅉桂䝁䄴䅚杁䝁䅍睢瑂䝁䄰党祂䝁䅍兡桂䝁䅷䅉穂䡁䅫督あ䝁䅕兢穂䑁䅳䅉穂䝁䅕䅣あ䝁䅫睙杁䡁䅑兙畂䝁䅳督杁䝁䅅杢歂䍁䅁兙橂䝁䅍党穂䡁䅍睢祂䝁䅫党穂䑁䅳䅉橂䝁䄸兢楂䝁䅫杢求䝁䅑䅉あ䡁䅉党桂䡁䅑兢求䝁䄴䅤杁䝁䅅杢歂䍁䅁䅚灂䡁䅍䅣求䡁䅉督桂䝁䅷䅉穂䡁䅫督あ䝁䅕兢穂䍁䅷䅉灂䝁䄴睙獂䡁䅕䅚灂䝁䄴睚杁䝁䅅䅚㉂䝁䅅杢橂䝁䅕䅚杁䝁䅕杢㉂䝁䅫杣療䍁䄰督求䡁䅁䅤灂䝁䅍䅉桂䝁䄴䅚杁䝁䅅䅚㉂䝁䅅杢橂䝁䅕䅚杁䡁䅑杣求䝁䅅䅤瑂䝁䅕杢あ䍁䅁䅢求䝁䅅睙潂䝁䅙兡求䝁䅷䅚杁䡁䅍入穂䡁䅑党瑂䡁䅍睏杁䝁䅅杢歂䍁䅁兙獂䝁䅷兡求䝁䅑䅉睂䡁䅉睢歂䡁䅕睙あ䡁䅍䅌杁䝁䅫杢橂䝁䅷兤歂䝁䅫杢湂䍁䅁督あ䝁䄸杣瑂䍁䅁杣求䡁䅑党畂䡁䅑兡療䝁䄴睌歂䝁䅕䅤求䝁䄴䅤灂䝁䄸杢杁䝁䅅杢歂䍁䅁督求䡁䅁䅤灂䝁䅍䅉橂䝁䅧兙瑂䝁䅉党祂䡁䅍䅌杁䡁䅁睢獂䡁䅫杤灂䝁䄴入獂䍁䅁睙潂䝁䅷睢祂䝁䅫䅚求䍁䅁䅚祂䝁䅅兡畂䝁䅅睚求䍁䅁督あ䡁䅉兤橂䡁䅑兤祂䝁䅕督獁䍁䅁杚灂䡁䅑䅤灂䝁䄴睚穂䍁䅷䅉桂䝁䄴䅚杁䡁䅣兙あ䝁䅕杣杁䡁䅅兤桂䝁䅷兡あ䡁䅫䅉浂䝁䅫䅢あ䝁䅕杣穂䍁䅁兙畂䝁䅑䅉穂䝁䅕䅣桂䡁䅉兙あ䝁䄸杣穂䍁䄴䅉啂䝁䅧党杁䝁䅍睢瑂䡁䅁兙畂䡁䅫䅉桂䝁䅷督療䍁䅁䅣ㅂ䡁䅉睙潂䝁䅅督求䡁䅍䅉桂䝁䄴䅚杁䝁䅑兡穂䡁䅑杣灂䝁䅉兤あ䝁䅕督杁䝁䅍睢畂䡁䅍䅤祂䡁䅕睙あ䝁䅫睢畂䍁䅁杚桂䝁䅉杣灂䝁䅍督杁䝁䅅杢歂䍁䅁睢あ䝁䅧党祂䍁䅁睚求䝁䄸督㕂䝁䄴䅤潂䝁䅕䅤灂䝁䅍䅉睂䡁䅉睢歂䡁䅕睙あ䡁䅍䅉浂䝁䄸杣杁䡁䅍睢灂䝁䅷䅉穂䡁䅑兙楂䝁䅫䅢灂䡁䅯兙あ䝁䅫睢畂䍁䅷䅉祂䝁䅕兡畂䝁䅙睢祂䝁䅍党瑂䝁䅕杢あ䍁䅷䅉浂䝁䅫䅢あ䡁䅉兙あ䝁䅫睢畂䍁䅷䅉穂䝁䅕䅣桂䡁䅉兙あ䝁䅫睢畂䍁䅷䅉求䡁䅉睢穂䝁䅫睢畂䍁䅁睙療䝁䄴䅤祂䝁䄸䅢獁䍁䅁兙畂䝁䅑䅉穂䡁䅕杙瑁䡁䅍兤祂䝁䅙兙橂䝁䅕䅉歂䡁䅉兙灂䝁䄴兙湂䝁䅕䅌杁䝁䅅督杁䡁䅣党獂䝁䅷䅉桂䡁䅍䅉歂䡁䅉兙灂䝁䄴兙湂䝁䅕䅉湂䡁䅉兙あ䝁䅕督杁䝁䅅杢歂䍁䅁睢あ䝁䅧党祂䍁䅁䅣祂䝁䄸䅚ㅂ䝁䅍䅤穂䍁䄴䅉䩂䝁䄴䅉桂䝁䅑䅚灂䡁䅑兡療䝁䄴䅌杁䝁䅫䅤杁䡁䅁杣療䡁䅙兡歂䝁䅕督杁䙁䅁杖䑂䍁䅁䅡ㅂ䝁䅉督獁䍁䅁杣ㅂ䝁䅉杙求䡁䅉䅉穂䝁䅷党求䡁䅙党穂䍁䅷䅉桂䝁䄴䅚杁䡁䅍䅤桂䝁䅫杢獂䝁䅕督穂䍁䄰督あ䝁䅕党獂䍁䅁杙桂䝁䄴䅚穂䍁䄴䅉啂䝁䅧党杁䝁䅍睢瑂䡁䅁兙畂䡁䅫䅉療䝁䅙杚求䡁䅉督杁䝁䅫䅤穂䍁䅁䅣祂䝁䄸䅚ㅂ䝁䅍䅤穂䍁䅁杚療䡁䅉䅉畂䝁䄸杢瑁䡁䅉党穂䝁䅫䅚求䝁䄴䅤灂䝁䅅䅢獁䍁䅁杣求䡁䅍兡歂䝁䅕杢あ䝁䅫兙獂䍁䅷䅉桂䝁䅣杣灂䝁䅍兤獂䡁䅑兤祂䝁䅕䅌杁䝁䅅杢歂䍁䅁兡畂䝁䅙杣桂䡁䅍䅤祂䡁䅕睙あ䡁䅕杣求䍁䅁兙睂䡁䅁䅢灂䝁䅍兙あ䝁䅫睢畂䡁䅍䅉あ䝁䅧杣療䡁䅕睚潂䍁䅁兙杁䝁䄴党あ䡁䅣睢祂䝁䅳䅉療䝁䅙䅉歂䝁䅫督あ䡁䅉兡楂䡁䅕䅤灂䝁䄸杢杁䝁䅍党畂䡁䅑党祂䡁䅍杌杁䕁䅅䅚㉂䝁䅅杢橂䝁䅕䅚杁䕁䅑杣桂䝁䅫杢桂䝁䅣党杁䙁䅍入穂䡁䅑党瑂䡁䅍䅌杁䕁䅫杢橂䍁䄴䅉灂䝁䄴睙療䡁䅉䅣療䡁䅉兙あ䝁䅕䅚杁䝁䅫杢杁䑁䅅兏㉁䑁䅙䅉桂䝁䄴䅚杁䝁䅫督杁䝁䅧党桂䝁䅑兣ㅂ䝁䅅杣あ䝁䅕杣求䝁䅑䅉灂䝁䄴䅉䥂䝁䅫䅢獂䝁䅫兙祂䝁䅑䅌杁䕁䄸䅡灂䝁䄸杌䅁䱁䅧䅁捁䅁䅁杔䉂䙁䅍䅒䉂䙁䅅睑乂䑁䅯睕乂䕁䅫䅒䅁䩁䅷䅁㙁䅁䅁兑湂䍁䅁睒祂䝁䄸睤あ䝁䅧䅉䩂䝁䄴䅤求䡁䅉杢桂䡁䅑兡療䝁䄴兙獂䍁䅁兓畂䝁䅍杌䅁䉁䉍䅁啁䅁䅁兓剂䑁䅙䅏㕁䑁䅁杍祁䑁䅫䅁ぁ允䅁䅇䅁䕁䅫兕祁䑁䅉兏ㅁ䑁䅕䅏㕁䑁䅧李䅁䡁䉅䅁㑂䅄䅁兑湂䍁䅁睒祂䝁䄸睤あ䝁䅧䅉䩂䝁䄴䅤求䡁䅉杢桂䡁䅑兡療䝁䄴兙獂䍁䅁兓畂䝁䅍杌獁䍁䅁䅤療䝁䅣党あ䝁䅧党祂䍁䅁睤灂䡁䅑䅡杁䝁䅫䅤穂䍁䅁督ㅂ䝁䅉督灂䝁䅑兡桂䡁䅉兡求䡁䅍䅌杁䝁䄰兙畂䡁䅕杚桂䝁䅍䅤ㅂ䡁䅉党穂䍁䅁兙畂䝁䅑䅉穂䝁䅕䅢獂䡁䅍䅉求䡁䅅兤灂䡁䅁兢求䝁䄴䅤杁䝁䅙睢祂䍁䅁䅤潂䝁䅕䅉桂䝁䅣杣灂䝁䅍兤獂䡁䅑兤祂䝁䅕䅉灂䝁䄴䅚ㅂ䡁䅍䅤祂䡁䅫䅉灂䝁䄴䅉䑂䝁䅅杢桂䝁䅑兙獁䍁䅁䅤潂䝁䅕䅉噂䝁䄴兡あ䝁䅕䅚杁䙁䅍䅤桂䡁䅑党穂䍁䅷䅉桂䝁䄴䅚杁䝁䅫杢あ䝁䅕杣畂䝁䅅䅤灂䝁䄸杢桂䝁䅷䅢㕂䍁䄴䅉䩂䡁䅑䅉療䡁䅁党祂䝁䅅䅤求䡁䅍䅉あ䝁䅧杣療䡁䅕睚潂䍁䅁杒桂䡁䅉兢杁䝁䅅杢歂䍁䅁睑療䝁䄰兢求䡁䅉睙灂䝁䅅䅢杁䡁䅍党湂䝁䄰党畂䡁䅑督畁䍁䅁䅖潂䝁䅕䅉橂䝁䄸兢睂䝁䅅杢㕂䍁䅁睢浂䝁䅙党祂䡁䅍䅉湂䡁䅉兙灂䝁䄴䅌杁䝁䅉睢獂䡁䅑党歂䍁䅷䅉潂䝁䄸䅣睂䝁䅕杣獁䍁䅁兙畂䝁䅑䅉穂䝁䄰睢療䡁䅑䅡杁䡁䅣兙獂䝁䅷䅉楂䝁䅫杢穂䑁䅳䅉あ䝁䅕兢睂䝁䄸杣桂䡁䅉入杁䡁䅍䅤療䡁䅉兙湂䝁䅕睏杁䡁䅕杢獂䝁䄸兙歂䡁䅍䅉桂䝁䄴䅚杁䡁䅍睤求䝁䅕䅣穂䍁䅁督㕂䡁䅍䅤求䝁䄰督㝁䍁䅁睤桂䡁䅑党祂䍁䅁䅤桂䝁䄴睡穂䑁䅳䅉穂䝁䅕睙療䝁䄴䅚桂䡁䅉入杁䝁䅍睢畂䡁䅑兙灂䝁䄴兢求䝁䄴䅤杁䡁䅍入穂䡁䅑党瑂䡁䅍睏杁䝁䅙兤求䝁䅷䅉あ䝁䅅杢牂䡁䅍睏杁䝁䅅杢歂䍁䅁督あ䝁䄸杣桂䝁䅣党杁䝁䅅睙橂䝁䅕督穂䝁䄸杣灂䝁䅕督獁䍁䅁兙穂䍁䅁睤求䝁䅷䅢杁䝁䅅督杁䝁䄰兡㑂䝁䅕䅚杁䝁䅙䅢療䡁䅣䅉歂䡁䅉入求䡁䅉督㝁䍁䅁杚桂䝁䄴督杁䝁䅅杢歂䍁䅁䅡求䝁䅅䅤求䡁䅉督㝁䍁䅁兙求䡁䅉兙あ䝁䅫睢畂䍁䅁䅣祂䝁䄸䅚ㅂ䝁䅍䅤穂䑁䅳䅉㉂䝁䅕杢あ䡁䅍䅉桂䝁䄴䅚杁䝁䅕䅥潂䝁䅅兤穂䡁䅑党祂䡁䅍睏杁䝁䅅杢歂䍁䅁督あ䝁䅫杣祂䝁䅫杢湂䍁䅁督㕂䡁䅍䅤求䝁䄰督畁䍁䅁兓あ䍁䅁兙獂䡁䅍睢杁䡁䅁杣療䡁䅙兡歂䝁䅕督杁䡁䅁睢祂䡁䅑兙楂䝁䅷党杁䝁䅧兙畂䝁䅑䅢灂䝁䄴睚杁䝁䅕兣ㅂ䝁䅫䅣瑂䝁䅕杢あ䍁䅷䅉穂䡁䅕睙潂䍁䅁兙穂䍁䅁兙ㅂ䝁䅣党祂䡁䅍䅌杁䝁䅍睢畂䡁䅙党㕂䝁䄸杣穂䍁䅷䅉湂䡁䅉兙灂䝁䄴䅉㉂䝁䅅睙穂䍁䅷䅉睂䝁䄸督あ䍁䅁䅣療䡁䅕杢歂䝁䅕杣穂䍁䅷䅉穂䝁䅕党歂䍁䅁䅤祂䝁䅕兙あ䝁䅕杣穂䍁䅷䅉桂䝁䄴䅚杁䡁䅉党獂䝁䅅䅤求䝁䅑䅉桂䝁䅍睙求䡁䅍督療䡁䅉兡求䡁䅍睏杁䡁䅁党祂䝁䄰兙畂䝁䅕杢あ䍁䅁䅡桂䝁䄴䅚獂䝁䅫杢湂䍁䅁党硂䡁䅕兡睂䝁䄰党畂䡁䅑䅌杁䡁䅍兤橂䝁䅧䅉桂䡁䅍䅉楂䡁䅕睙牂䝁䅕䅤杁䝁䅕䅢求䡁䅙兙あ䝁䄸杣穂䍁䅷䅉橂䝁䅧兙灂䝁䄴䅉桂䝁䄴䅚杁䝁䅉党獂䡁䅑䅉橂䝁䄸杢㉂䝁䅕入療䡁䅉督獁䍁䅁䅚灂䡁䅍䅤祂䝁䅫杙ㅂ䡁䅑睢祂䡁䅍䅌杁䝁䅙党求䝁䅑䅉潂䝁䅅杢歂䝁䅷兡畂䝁䅣䅌杁䡁䅍睙祂䝁䅕睤杁䝁䅙党求䝁䅑党祂䡁䅍䅉桂䝁䄴䅚杁䝁䅍睢畂䡁䅙党㕂䝁䄸杣穂䍁䅷䅉桂䝁䄴䅚杁䡁䅍䅣療䡁䅕䅤穂䍁䅁兙畂䝁䅑䅉橂䝁䄸杢畂䝁䅕睙あ䝁䄸杣穂䍁䄴䅉䩂䝁䄴䅉桂䝁䅑䅚灂䡁䅑兡療䝁䄴䅌杁䡁䅑䅡求䍁䅁睙療䝁䄰䅣桂䝁䄴入杁䝁䄸杚浂䝁䅕杣穂䍁䅁䅤療䡁䅣党祂䡁䅍䅌杁䝁䅍兙あ䡁䅣兙獂䝁䅳督獁䍁䅁兙畂䝁䅑䅉獂䝁䅅䅚歂䝁䅕杣穂䍁䅷䅉桂䡁䅍䅉㍂䝁䅕䅢獂䍁䅁兙穂䍁䅁兙獂䝁䅷兌穂䡁䅑党求䝁䅷䅉楂䡁䅕兡獂䝁䅑兡畂䝁䅣督㝁䍁䅁杙桂䡁䅑睙潂䍁䅁杙獂䝁䅕杢歂䝁䅕杣穂䍁䅷䅉楂䡁䅕䅢牂䍁䅁督橂䝁䅅䅢求䡁䅍䅌杁䝁䅑党橂䝁䅷兡畂䝁䅫杢湂䍁䅁睤求䝁䅫睚潂䡁䅑䅉楂䝁䅷党畂䝁䅑党祂䡁䅍䅌杁䡁䅙党祂䡁䅑兡橂䝁䅅䅢杁䝁䅉䅢求䝁䄴䅚求䡁䅉督獁䍁䅁兢灂䝁䅍杣療䍁䄰䅚療䡁䅍兡畂䝁䅣䅉穂䡁䅫督あ䝁䅕兢穂䍁䅷䅉瑂䝁䅫䅥求䡁䅉督獁䍁䅁兙畂䝁䅑䅉瑂䝁䅫䅢獂䝁䅫杢湂䍁䅁党硂䡁䅕兡睂䝁䄰党畂䡁䅑睏杁䝁䅅杢歂䍁䅁睙療䝁䄴䅤祂䝁䄸䅢獂䝁䅕杣穂䍁䅷䅉潂䝁䅅来桂䡁䅉䅚杁䝁䄰睢畂䝁䅫䅤療䡁䅉兡畂䝁䅣䅌杁䝁䅅杢歂䍁䅁兢療䝁䄴兡あ䝁䄸杣灂䝁䄴睚杁䝁䅅杢歂䍁䅁兙ㅂ䡁䅑睢瑂䝁䅅䅤灂䝁䄸杢杁䝁䅕兣ㅂ䝁䅫䅣瑂䝁䅕杢あ䍁䄴䅉䩂䡁䅑督杁䡁䅁杣療䝁䅑兤橂䡁䅑督杁䝁䅅杣求䍁䅁兤穂䝁䅕䅚杁䝁䅫杢杁䡁䅁睢祂䡁䅑䅉浂䝁䅅睙灂䝁䅷兡あ䝁䅫党穂䍁䅷䅉灂䝁䄴䅢桂䝁䄴䅚杁䝁䅣杣桂䝁䅫杢杁䡁䅑党祂䝁䄰兡畂䝁䅅䅢穂䍁䅷䅉橂䝁䄸杣睂䝁䄸杣桂䡁䅑党杁䝁䅙兙祂䝁䄰督獁䍁䅁杚求䡁䅉䅤灂䝁䅷兡㙂䝁䅕杣杁䝁䅑兡穂䡁䅑杣灂䝁䅉兤あ䝁䅫睢畂䍁䅁督灂䡁䅑党穂䍁䅷䅉求䡁䅑䅡桂䝁䄴睢獂䍁䅁䅣祂䝁䄸䅚ㅂ䝁䅍䅤灂䝁䄸杢獁䍁䅁睢灂䝁䅷督求䝁䅕䅚杁䝁䅍杣ㅂ䡁䅍䅡灂䝁䄴睚獁䍁䅁睙療䝁䄰兢求䡁䅉睙灂䝁䅅䅢杁䝁䅙党求䝁䅑䅉瑂䝁䅫䅢獂䡁䅍䅌杁䡁䅉兡橂䝁䅕䅉瑂䝁䅫䅢獂䡁䅍䅌杁䝁䅅杢歂䍁䅁杚獂䝁䄸兤祂䍁䅁兢灂䝁䅷䅢穂䍁䄴䅉啂䝁䅧党杁䝁䅍睢瑂䡁䅁兙畂䡁䅫䅉穂䝁䅕杣㉂䝁䅕督杁䝁䅙兙祂䝁䄰党祂䡁䅍䅌杁䝁䅅睚祂䝁䅫杙ㅂ䡁䅍兡畂䝁䅕督穂䝁䅕督獁䍁䅁睚祂䝁䅅兡畂䍁䅁䅡桂䝁䄴䅚獂䝁䅕杣穂䍁䅷䅉祂䝁䅕睚灂䝁䄸杢桂䝁䅷䅉橂䝁䄸睢睂䝁䅕杣桂䡁䅑兡㉂䝁䅕督獁䍁䅁睙療䝁䄴䅤祂䝁䅅睙あ䝁䄸杣穂䍁䅷䅉浂䝁䄸睢歂䍁䅁兙畂䝁䅑䅉桂䝁䄴兡瑂䝁䅅䅢杁䝁䅙党求䝁䅑䅉瑂䝁䅅杢ㅂ䝁䅙兙橂䡁䅑兤祂䝁䅕杣穂䍁䅷䅉桂䝁䄴䅚杁䝁䅙党祂䡁䅑兡獂䝁䅫来求䡁䅉䅉楂䝁䅷党畂䝁䅑党祂䡁䅍䅉桂䝁䄴䅚杁䝁䅑兡穂䡁䅑杣灂䝁䅉兤あ䝁䄸杣穂䍁䄴䅉䉂䝁䅣䅉䡂䡁䅉睢㍂䡁䅑䅡杁䕁䅫杢あ䝁䅕杣畂䝁䅅䅤灂䝁䄸杢桂䝁䅷䅉䩂䝁䄴睙畁䍁䅁睤桂䡁䅍䅉浂䝁䄸兤畂䝁䅑党歂䍁䅁兡畂䍁䅁免㕁䑁䅫李杁䝁䅅杢歂䍁䅁兡穂䍁䅁杙桂䡁䅍党歂䍁䅁兡畂䍁䅁睖灂䝁䄴杢灂䡁䅁党湂䍁䅷䅉䑂䝁䅅杢桂䝁䅑兙畁䅁䅁杇䅅䅁䅯䅁䩂䕁䅙杕呂䅁䅁䅭䅅䑁䅉䅁䉂䝁䅫杣䍂䝁䄸督穂䍁䅁睢浂䍁䅁兑瑂䝁䅕杣灂䝁䅍兙杁䕁䅍睢祂䡁䅁杌䅁乁䅯䅁杄睃䅁兑灂䡁䅉村療䡁䅍督杁䝁䄸杚杁䕁䅅兢求䡁䅉兡橂䝁䅅䅉䑂䝁䄸杣睂䍁䄴䅌杁䡁䅑睢湂䝁䅕䅤潂䝁䅕杣杁䡁䅣兡あ䝁䅧䅉灂䡁䅑督杁䡁䅍兤楂䡁䅍兡歂䝁䅫兙祂䝁䅫党穂䍁䅷䅉瑂䝁䅅杢ㅂ䝁䅙兙橂䡁䅑兤祂䝁䅕督杁䝁䅅杢歂䍁䅁督求䝁䅷䅢穂䍁䅁杣ㅂ䝁䅉杙求䡁䅉兌楂䝁䅅督求䝁䅑䅉睂䡁䅉睢歂䡁䅕睙あ䡁䅍䅉灂䝁䄴䅉䑂䝁䅅杢桂䝁䅑兙獁䍁䅁䅤潂䝁䅕䅉噂䝁䄴兡あ䝁䅕䅚杁䙁䅍䅤桂䡁䅑党穂䍁䅷䅉桂䝁䄴䅚杁䝁䅫杢あ䝁䅕杣畂䝁䅅䅤灂䝁䄸杢桂䝁䅷䅢㕂䍁䄴䅉䩂䡁䅑䅉療䡁䅁党祂䝁䅅䅤求䡁䅍䅉あ䝁䅧杣療䡁䅕睚潂䍁䅁兑灂䡁䅉村療䡁䅍督杁䙁䅉兤楂䝁䅉党祂䍁䅁睕療䝁䅷兤あ䝁䅫睢畂䡁䅍䅉桂䝁䄴䅚杁䕁䅅兡祂䕁䅉睢穂䡁䅍䅉乂䝁䅅杢ㅂ䝁䅙兙橂䡁䅑兤祂䝁䅕䅚杁䙁䅁杣療䝁䅑兤橂䡁䅑督杁䡁䅍党湂䝁䄰党畂䡁䅑督畁䍁䅁䅖潂䝁䅕䅉䉂䝁䅫杣䍂䝁䄸督穂䍁䅁杕ㅂ䝁䅉杙求䡁䅉䅉呂䝁䄸䅢ㅂ䡁䅑兡療䝁䄴督杁䡁䅍党湂䝁䄰党畂䡁䅑䅉灂䝁䄴杤療䝁䅷杤求䡁䅍䅉灂䝁䄴䅉あ䝁䅧党杁䝁䄰兙畂</t>
  </si>
  <si>
    <t>䡁䅕杚桂䝁䅍䅤ㅂ䡁䅉党杁䝁䅅杢歂䍁䅁䅚灂䡁䅍䅤祂䝁䅫杙ㅂ䡁䅑兡療䝁䄴䅉療䝁䅙䅉祂䡁䅕杙楂䝁䅕杣杁䝁䅍睢瑂䡁䅁睢ㅂ䝁䄴䅚穂䍁䅁兙畂䝁䅑䅉祂䡁䅕杙楂䝁䅕杣杁䝁䅍睢瑂䡁䅁睢ㅂ䝁䄴䅚灂䝁䄴睚杁䡁䅉党獂䝁䅅䅤求䝁䅑䅉橂䝁䅧党瑂䝁䅫睙桂䝁䅷督杁䝁䅙睢祂䍁䅁杤桂䡁䅉兡療䡁䅕督杁䝁䅅䅣睂䝁䅷兡橂䝁䅅䅤灂䝁䄸杢杁䝁䅫杢杁䝁䅅兤あ䝁䄸兢療䡁䅑兡㉂䝁䅕䅌杁䝁䅧党桂䡁䅙入杁䝁䅫杢歂䡁䅕督あ䡁䅉入獁䍁䅁杣療䝁䅷䅢求䡁䅉督獁䍁䅁睙療䝁䄴杤求䡁䅫睢祂䍁䅁杙求䝁䅷䅤灂䝁䄴睚獁䍁䅁䅚求䝁䅙党畂䡁䅍党獁䍁䅁睙療䝁䄴督あ䡁䅉兤橂䡁䅑兡療䝁䄴䅉桂䝁䄴䅚杁䝁䅫杢浂䡁䅉兙穂䡁䅑杣ㅂ䝁䅍䅤ㅂ䡁䅉党獁䍁䅁兢灂䝁䄴兡畂䝁䅣䅌杁䡁䅑杣桂䝁䄴督睂䝁䄸杣あ䝁䅅䅤灂䝁䄸杢獁䍁䅁兙畂䝁䅑䅉療䝁䅫䅢杁䝁䅅杢歂䍁䅁睚桂䡁䅍䅉灂䝁䄴䅚ㅂ䡁䅍䅤祂䝁䅫党穂䍁䄴䅉啂䝁䅧党杁䕁䅅兡祂䕁䅉睢穂䡁䅍䅉乂䝁䅅杢ㅂ䝁䅙兙橂䡁䅑兤祂䝁䅕䅚杁䙁䅁杣療䝁䅑兤橂䡁䅑督杁䡁䅍党湂䝁䄰党畂䡁䅑䅉療䝁䅙杚求䡁䅉督杁䝁䅅杢あ䝁䅫兌畂䝁䄸兡穂䝁䅕䅌杁䡁䅙兡楂䡁䅉兙あ䝁䅫睢畂䍁䅁兙畂䝁䅑䅉潂䝁䅅杣穂䝁䅧杢求䡁䅍督杁䝁䅑兙瑂䡁䅁党畂䝁䅫杢湂䍁䅁䅣桂䡁䅉䅤穂䍁䅷䅉桂䝁䄴䅚杁䡁䅁党祂䡁䅍睢畂䝁䅅䅢杁䡁䅁杣療䡁䅑党橂䡁䅑兡療䝁䄴䅉桂䝁䄴䅚杁䡁䅍兙浂䝁䅕䅤㕂䍁䅁䅣祂䝁䄸䅚ㅂ䝁䅍䅤穂䍁䅷䅉灂䝁䄴睙獂䡁䅕䅚灂䝁䄴睚杁䡁䅉兤楂䝁䅉党祂䍁䅷䅉穂䡁䅫杢あ䝁䅧党あ䝁䅫睙杁䡁䅉兤楂䝁䅉党祂䍁䅷䅉桂䝁䄴䅚杁䡁䅉兤楂䝁䅉党祂䍁䄰䅤療䍁䄰兢求䡁䅑兙獂䍁䅁杙療䝁䄴䅚求䝁䅑䅉睂䡁䅉睢歂䡁䅕睙あ䡁䅍䅉あ䝁䄸䅉求䝁䅷兡瑂䝁䅫杢桂䡁䅑党杁䝁䄸杣杁䝁䅍睢畂䡁䅑杣療䝁䅷䅉ㅂ䝁䄴䅚求䡁䅍兡祂䝁䅕䅚杁䡁䅙兡楂䡁䅉兙あ䝁䅫睢畂䍁䅁兙畂䝁䅑䅉畂䝁䄸兡穂䝁䅕䅉浂䝁䄸杣杁䡁䅕督求䍁䅁兡畂䍁䅁兙ㅂ䡁䅑睢瑂䝁䄸䅤灂䡁䅙党獁䍁䅁党獂䝁䅕睙あ䡁䅉兡橂䍁䅁杤求䝁䅧兡橂䝁䅷党獁䍁䅁䅡求䝁䅅杤㕂䍁䅁䅤祂䡁䅕睙牂䍁䅁兙畂䝁䅑䅉療䝁䅙杚瑁䝁䅧兡湂䝁䅧睤桂䡁䅫䅌杁䝁䅫杢歂䡁䅕督あ䡁䅉兡桂䝁䅷䅉桂䝁䄴䅚杁䝁䅑党浂䝁䅕杢穂䝁䅕䅉灂䝁䄴䅚ㅂ䡁䅍䅤祂䝁䅫党穂䍁䄴䅉䩂䡁䅑䅉桂䝁䅷督療䍁䅁䅣祂䝁䄸杤灂䝁䅑党穂䍁䅁䅣祂䝁䄸䅤求䝁䅍䅤灂䡁䅙党杁䝁䅕兣ㅂ䝁䅫䅣瑂䝁䅕杢あ䍁䅁䅤療䍁䅁兢灂䝁䅷兡あ䝁䅅杣㕂䍁䅷䅉獂䝁䅅睤杁䝁䅕杢浂䝁䄸杣橂䝁䅕兢求䝁䄴䅤獁䍁䅁兡畂䝁䅑兤穂䡁䅑杣灂䝁䅅䅢杁䡁䅁杣療䡁䅙兡歂䝁䅕杣穂䍁䅷䅉桂䝁䄴䅚杁䝁䅙兡祂䡁䅍䅤杁䡁䅉党穂䡁䅁睢畂䝁䅑党祂䡁䅍睏杁䝁䅅杢歂䍁䅁䅡求䝁䅅䅢あ䝁䅧睙桂䡁䅉党杁䡁䅁杣療䡁䅑党橂䡁䅑兡㉂䝁䅕䅉求䡁䅅兤灂䡁䅁兢求䝁䄴䅤獁䍁䅁䅣求䡁䅉督療䝁䄴兙獂䍁䅁杣求䡁䅍䅣灂䡁䅉兙あ䝁䄸杣㕂䍁䅁䅣祂䝁䄸䅤求䝁䅍䅤灂䡁䅙党杁䡁䅁杣療䝁䅑兤橂䡁䅑督獁䍁䅁睙潂䝁䅕兢灂䝁䅍兙獂䍁䅷䅉楂䝁䅫睢獂䝁䄸睚灂䝁䅍兙獂䍁䅷䅉祂䝁䅅䅚灂䝁䄸兙橂䡁䅑兡㉂䝁䅕䅌杁䝁䄴兤橂䝁䅷党桂䡁䅉䅉桂䝁䄴䅚杁䝁䅕䅥睂䝁䅷睢穂䝁䅫杤求䍁䅁䅣祂䝁䄸䅤求䝁䅍䅤灂䡁䅙党杁䝁䅕兣ㅂ䝁䅫䅣瑂䝁䅕杢あ䍁䅷䅉祂䝁䅅䅣灂䝁䅑䅉歂䝁䅕䅣獂䝁䄸入瑂䝁䅕杢あ䍁䅁杢求䝁䅣兙あ䝁䅫杤求䍁䅁䅣祂䝁䅕督穂䡁䅕杣求䍁䅁兡穂䝁䄸䅢桂䡁䅑兡療䝁䄴䅉穂䝁䅧党獂䡁䅑党祂䡁䅍䅌杁䝁䅅杢歂䍁䅁睙療䝁䅷䅚杁䡁䅣党桂䡁䅑䅡求䡁䅉䅉橂䝁䄸兢楂䝁䅅䅤杁䝁䅙睢療䡁䅑睤求䝁䅅杣杁䡁䅕杢歂䝁䅕杣杁䡁䅑䅡求䍁䅁兑灂䡁䅉村療䡁䅍督杁䕁䅑党浂䝁䅕杢穂䝁䅕䅉楂䡁䅉兙畂䝁䅑䅉畂䝁䅅兢求䍁䄴䅉啂䝁䅧党杁䝁䅍睢瑂䡁䅁兙畂䡁䅫䅉㍂䝁䅅督杁䝁䅙睢祂䝁䄰党祂䝁䅷入杁䝁䅳杢療䡁䅣杢杁䝁䅅督杁䕁䅫兑啂䕁䅍睔杁䕁䅫杢歂䡁䅕督あ䡁䅉兡求䡁䅍䅉䩂䝁䄴睙畁䍁䅁兙畂䝁䅑䅉橂䝁䅧兙畂䝁䅣党歂䍁䅁兡あ䡁䅍䅉畂䝁䅅兢求䍁䅁䅤療䍁䅁兑灂䡁䅉村療䡁䅍督杁䝁䄸杚杁䕁䅅兢求䡁䅉兡橂䝁䅅䅉䑂䝁䄸杣睂䍁䄴䅉灂䝁䄴䅉䉂䡁䅁杣灂䝁䅷䅉硁䑁䅫兏ぁ䍁䄴䅉䉂䝁䅫杣䍂䝁䄸督穂䍁䅁睢浂䍁䅁兑瑂䝁䅕杣灂䝁䅍兙杁䕁䅍睢祂䡁䅁杌杁䝁䅫督杁䝁䅧党桂䝁䅑兣ㅂ䝁䅅杣あ䝁䅕杣求䝁䅑䅉灂䝁䄴䅉佂䝁䅕睤瑂䝁䅅杣牂䝁䅕䅤獁䍁䅁睑桂䝁䄴兙歂䝁䅅杌䅁乁䅙䅁奁䅁䅁兑あ䝁䅳睢祂䝁䅕䅉䩂䝁䄴睙畁䅁䅁䅷䅁䕁䤴䅁兂䝁䄸䅢獂䝁䅅杣歂䍁䅁村桂䝁䄴睡畂䝁䄸䅤求䍁䅁䅔灂䝁䄰兡あ䝁䅕䅚獁䍁䅁䅤療䝁䅣党あ䝁䅧党祂䍁䅁睤灂䡁䅑䅡杁䝁䅫䅤穂䍁䅁督ㅂ䝁䅉督灂䝁䅑兡桂䡁䅉兡求䡁䅍䅌杁䝁䄰兙畂䡁䅕杚桂䝁䅍䅤ㅂ䡁䅉党穂䍁䅁兙畂䝁䅑䅉穂䝁䅕䅢獂䡁䅍䅉桂䍁䅁杣桂䝁䄴睚求䍁䅁睢浂䍁䅁䅢療䡁䅑䅤求䡁䅉入杁䝁䅅杢歂䍁䅁睙潂䝁䅅杣灂䡁䅑兙楂䝁䅷党杁䝁䅣兙瑂䝁䅫杢湂䍁䅁䅣祂䝁䄸䅚ㅂ䝁䅍䅤穂䍁䅁兙畂䝁䅑䅉穂䝁䄸䅢ㅂ䡁䅑兡療䝁䄴督杁䝁䅫杢杁䡁䅑䅡求䍁䅁兖畂䝁䅫䅤求䝁䅑䅉呂䡁䅑兙あ䝁䅕督獁䍁䅁睑桂䝁䄴兙歂䝁䅅䅌杁䝁䅅杢歂䍁䅁兡畂䡁䅑党祂䝁䄴兙あ䝁䅫睢畂䝁䅅䅢獂䡁䅫杌杁䕁䅫䅤杁䝁䄸䅣求䡁䅉兙あ䝁䅕督杁䡁䅑䅡祂䝁䄸兤湂䝁䅧䅉浂䝁䄸兤祂䍁䅁督求䝁䅣兢求䝁䄴䅤穂䑁䅯䅉䵂䝁䄸䅤あ䝁䅕杣灂䝁䅕督獁䍁䅁睑潂䝁䅅杣灂䡁䅑兙楂䝁䅷党杁䕁䅣兙瑂䝁䅫杢湂䍁䅷䅉求䕁䅣兙瑂䝁䅫杢湂䍁䅁督㕂䡁䅍䅤求䝁䄰督獁䍁䅁兙畂䝁䅑䅉卂䝁䅕䅤桂䝁䅫䅢畁䍁䅁䅖潂䝁䅕䅉橂䝁䄸兢睂䝁䅅杢㕂䍁䅁䅚求䡁䅍兡湂䝁䄴督獁䍁䅁兢桂䝁䄴兤浂䝁䅅睙あ䡁䅕杣求䡁䅍䅌杁䝁䅅杢歂䍁䅁䅚灂䡁䅍䅤祂䝁䅫杙ㅂ䡁䅑党穂䍁䅁兡畂䡁䅍䅤桂䝁䄴䅤杁䡁䅑兡橂䝁䅳党あ䡁䅍䅌杁䝁䅅督杁䡁䅣党獂䝁䅷䅉桂䡁䅍䅉療䝁䅙杚求䡁䅉督杁䡁䅉党獂䝁䅅䅤求䝁䅑䅉穂䝁䅕杣㉂䝁䅫睙求䡁䅍杌杁䕁䅫䅤杁䝁䄸杚浂䝁䅕杣穂䍁䅁兙杁䡁䅉兙畂䝁䅣党杁䝁䄸杚杁䝁䅉兡畂䝁䅣睢瑁䡁䅉党獂䝁䅅䅤求䝁䅑䅉睂䡁䅉睢歂䡁䅕睙あ䡁䅍䅌杁䡁䅍兤橂䝁䅧䅉桂䡁䅍䅉楂䝁䅫杢湂䝁䄸䅉睂䝁䅅䅣求䡁䅉䅌杁䡁䅁兤獂䝁䅷兌あ䝁䅅杙杁䡁䅑兡橂䝁䅳党あ䡁䅍䅌杁䡁䅁兤獂䝁䅷兌あ䝁䅅杙杁䡁䅑兡橂䝁䅳党あ䍁䅁杤求䝁䄴䅚灂䝁䄴睚杁䝁䄰兙橂䝁䅧兡畂䝁䅕督獁䍁䅁兙畂䝁䅑䅉湂䝁䅅兢灂䝁䄴睚杁䝁䄰兙橂䝁䅧兡畂䝁䅕督畁䍁䅁兓畂䍁䅁兙歂䝁䅑兡あ䝁䅫睢畂䍁䅷䅉あ䝁䅧党杁䝁䅍睢瑂䡁䅁兙畂䡁䅫䅉睂䡁䅉睢㉂䝁䅫䅚求䡁䅍䅉獂䝁䅫睙求䝁䄴督求䝁䅑䅉湂䝁䅅兢求䡁䅍䅌杁䡁䅍兤橂䝁䅧䅉桂䡁䅍䅉睂䡁䅉兡㙂䝁䅕䅉湂䝁䅫杤求䝁䅅睤桂䡁䅫䅌杁䡁䅁杣療䝁䄰睢あ䝁䅫睢畂䝁䅅䅢杁䝁䄸䅣睂䝁䄸杣あ䡁䅕杢灂䡁䅑兡求䡁䅍䅌杁䝁䅑兡湂䝁䅫䅤桂䝁䅷䅉瑂䝁䅅杣牂䝁䅕䅤灂䝁䄴睚獁䍁䅁䅕偂䙁䅍䅉穂䡁䅕䅣睂䝁䄸杣あ䍁䅷䅉桂䝁䄴䅚杁䡁䅍党橂䝁䄸杢歂䍁䅁睙潂䝁䅅杢橂䝁䅕䅉歂䡁䅉兙㍂䍁䅁兢桂䝁䄴兙湂䝁䅕兢求䝁䄴䅤獁䍁䅁兙穂䍁䅁睤求䝁䅷䅢杁䝁䅅督杁䝁䅑兡穂䡁䅑兡畂䝁䅍䅤灂䡁䅙党杁䡁䅁杣療䝁䅑兤橂䡁䅑督獁䍁䅁杙ㅂ䡁䅍兡畂䝁䅕督穂䍁䅁䅣祂䝁䄸睙求䡁䅍督求䡁䅍䅌杁䝁䅅杢歂䍁䅁兢求䡁䅉睙潂䝁䅅杢歂䝁䅫督灂䝁䄴睚杁䡁䅍睢獂䡁䅕䅤灂䝁䄸杢穂䍁䅁䅤療䍁䅁党畂䝁䅧兙畂䝁䅍党杁䝁䅷睢あ䡁䅑党祂䡁䅫䅉療䡁䅁党祂䝁䅅䅤灂䝁䄸杢穂䍁䅁兙畂䝁䅑䅉療䡁䅁䅤灂䝁䄰兡㙂䝁䅕䅉祂䝁䅕䅤桂䝁䅫䅢杁䡁䅍兙獂䝁䅕督畁䍁䅁䅖潂䝁䅕䅉橂䝁䄸兢睂䝁䅅杢㕂䍁䅁睤桂䡁䅍䅉浂䝁䄸杣瑂䝁䅕杣獂䡁䅫䅉牂䝁䄴睢㍂䝁䄴䅉桂䡁䅍䅉㍁䑁䅕免睁䑁䅅䅍硁䍁䅁睑桂䝁䄴兙歂䝁䅅䅉䵂䝁䅫兢灂䡁䅑党歂䍁䄴䅉兂䝁䄸䅢獂䝁䅅杣歂䍁䅁村桂䝁䄴睡畂䝁䄸䅤求䍁䅁䅔灂䝁䄰兡あ䝁䅕䅚杁䡁䅣兙穂䍁䅁杚療䡁䅕杢歂䝁䅕䅚杁䝁䅫杢杁䑁䅅兏睁䑁䅣䅉桂䝁䄴䅚杁䝁䅫督杁䝁䅧党桂䝁䅑兣ㅂ䝁䅅杣あ䝁䅕杣求䝁䅑䅉灂䝁䄴䅉塂䝁䅫杢畂䝁䅫䅣求䝁䅣䅌杁䕁䅍兙畂䝁䅅䅚桂䍁䄴䅉兂䝁䄸䅢獂䝁䅅杣歂䍁䅁村桂䝁䄴睡畂䝁䄸䅤求䍁䅁䅔灂䝁䄰兡あ䝁䅕䅚杁䝁䄸䅣求䡁䅉兙あ䝁䅕督杁䝁䅅督杁䝁䅅䅉穂䡁䅕杙穂䝁䅫䅚灂䝁䅅杣㕂䍁䅁睢浂䍁䅁䅕療䝁䅷䅢桂䡁䅉䅚杁䕁䅕兣ㅂ䝁䅫䅤灂䝁䅕督杁䕁䅷兡瑂䝁䅫䅤求䝁䅑杌䅁偁䅁䅁十䅁䅁杔婂䙁䅍兒㙁䙁䅍睑䩂䅁䅁共䅁乁䥑䅁䉂䡁䅑睡療䡁䅉党杁䕁䅫杢橂䍁䄴䅉求䝁䄴睚桂䝁䅣党穂䍁䅁兡畂䍁䅁䅤潂䝁䅕䅉瑂䝁䅅杢ㅂ䝁䅙兙橂䡁䅑兤祂䝁䅕䅉桂䝁䄴䅚杁䡁䅍兙獂䝁䅕䅉療䝁䅙䅉求䝁䅷党橂䡁䅑杣灂䝁䅍兙獂䍁䅷䅉瑂䝁䅕睙潂䝁䅅杢灂䝁䅍兙獂䍁䅷䅉穂䝁䅅杚求䡁䅑入獁䍁䅁兙畂䝁䅑䅉灂䝁䄴杚祂䝁䅅督あ䡁䅉兤橂䡁䅑兤祂䝁䅕䅉睂䡁䅉睢歂䡁䅕睙あ䡁䅍䅉桂䝁䄴䅚杁䡁䅍睢獂䡁䅕䅤灂䝁䄸杢穂䍁䅁兡畂䍁䅁䅤潂䝁䅕䅉噂䝁䄴兡あ䝁䅕䅚杁䙁䅍䅤桂䡁䅑党穂䍁䅁兙畂䝁䅑䅉灂䝁䄴䅤求䡁䅉杢桂䡁䅑兡療䝁䄴兙獂䝁䅷入畁䍁䅁䅖潂䝁䅕䅉橂䝁䄸兢睂䝁䅅杢㕂䍁䅁睢浂䝁䅙党祂䡁䅍䅉橂䝁䄸杢歂䡁䅕兡あ䡁䅍䅌杁䝁䅍兙楂䝁䅷党穂䍁䅷䅉桂䝁䄴䅚杁䝁䅫杢穂䡁䅑兙獂䝁䅷兙あ䝁䅫睢畂䍁䅁兙橂䝁䅍党穂䡁䅍睢祂䝁䅫党穂䍁䄴䅉䩂䡁䅑䅉桂䝁䅷督療䍁䅁䅚求䡁䅍兡湂䝁䄴督杁䝁䅅杢歂䍁䅁兢桂䝁䄴兤浂䝁䅅睙あ䡁䅕杣求䡁䅍䅉睂䡁䅉睢あ䝁䅕睙あ䝁䅫睢畂䍁䅁兙畂䝁䅑䅉祂䝁䅕䅢灂䝁䅅杙灂䝁䅷兡あ䡁䅫䅉穂䝁䄸䅢ㅂ䡁䅑兡療䝁䄴督杁䝁䅙睢祂䍁䅁睙祂䝁䅫䅤灂䝁䅍兙獂䍁䅁兡畂䝁䅙杣桂䡁䅍䅤祂䡁䅕睙あ䡁䅕杣求䍁䅷䅉穂䡁䅕睙潂䍁䅁兙穂䍁䅁兢求䡁䅑兙獂䍁䅁杚祂䝁䅅兢灂䝁䄴睚獁䍁䅁兢求䝁䅍䅡桂䝁䄴兡橂䝁䅅䅢杁䡁䅁兡睂䝁䅕䅌杁䡁䅁党祂䝁䅫兢求䡁䅑党祂䍁䅁督求䝁䅍兤祂䝁䅫䅤㕂䍁䅷䅉桂䝁䄴䅚杁䝁䅍兙楂䝁䅷党杁䝁䄰兙畂䝁䅅睚求䝁䄰党畂䡁䅑杌杁䙁䅑䅡求䍁䅁睙療䝁䄰䅣桂䝁䄴入杁䝁䄸杚浂䝁䅕杣穂䍁䅁兡あ䡁䅍䅉睂䡁䅉睢歂䡁䅕睙あ䡁䅍䅉ㅂ䝁䄴䅚求䡁䅉䅉あ䝁䅧党杁䕁䅅䅢獂䝁䅫党歂䍁䅁䅖ㅂ䝁䅉党杁䍁䅙䅉䑂䝁䄸杢歂䡁䅕兡あ䍁䅷䅉䉂䕁䅙睑杁䕁䅍兙楂䝁䅷党杁䙁䅍入穂䡁䅑党瑂䡁䅍䅌杁䕁䅳兙浂䍁䄰䅖求䝁䅍䅡獁䍁䅁䅓求䡁䅉兡あ䝁䅅睚求䍁䅁䅕獂䝁䅅督あ䝁䅫睙穂䍁䅷䅉噂䝁䄴兡穂䡁䅑杣ㅂ䡁䅑䅌杁䙁䅁睢㍂䝁䅕杣瑁䙁䅍䅤祂䡁䅕䅤獁䍁䅁睑療䡁䅁党獁䍁䅁兖呂䍁䅁䅖祂䝁䅅入獁䍁䅁杒卂䕁䅕䅉䑂䝁䄸兢睂䝁䄸督灂䡁䅑党穂䍁䅷䅉噂䝁䄴兡あ䝁䅕䅚杁䙁䅁睢獂䡁䅫䅉呂䡁䅫督あ䝁䅕兢穂䍁䅷䅉䑂䝁䅅䅢楂䝁䄸杢歂䍁䅷䅉桂䝁䄴䅚杁䕁䅍兙獂䡁䅁兡睂䝁䅕杌杁䕁䅫䅤杁䡁䅍党祂䡁䅙党穂䍁䅁杤桂䡁䅉兡療䡁䅕督杁䝁䅕杢歂䍁䅁兢桂䡁䅉睡求䡁䅑督獁䍁䅁兡畂䝁䅍䅢ㅂ䝁䅑兡畂䝁䅣䅉畂䝁䅕睤杁䝁䅍睢畂䡁䅍䅤祂䡁䅕睙あ䝁䅫睢畂䑁䅳䅉瑂䝁䅅兡畂䡁䅑党畂䝁䅅杢橂䝁䅕䅌杁䡁䅉党睂䝁䅅兡祂䍁䅷䅉桂䝁䄴䅚杁䡁䅉党瑂䝁䄸䅚求䝁䅷睏杁䝁䅫杢浂䡁䅉兙穂䡁䅑杣ㅂ䝁䅍䅤ㅂ䡁䅉党㝁䍁䅁䅚灂䡁䅙党祂䡁䅍兡浂䝁䅫党歂䍁䅁兡畂䝁䅑兤穂䡁䅑杣灂䝁䅅䅢穂䑁䅳䅉桂䝁䅷䅤求䡁䅉杢桂䡁䅑兡㉂䝁䅕䅉睂䝁䄸睤求䡁䅉䅉湂䝁䅕杢求䡁䅉兙あ䝁䅫睢畂䑁䅳䅉潂䝁䅕兙獂䡁䅑䅡橂䝁䅅杣求䑁䅳䅉歂䝁䅅䅤桂䍁䅁睙求䝁䄴䅤求䡁䅉督㝁䍁䅁兙畂䝁䅑䅉湂䝁䄸杤求䡁䅉杢瑂䝁䅕杢あ䡁䅍䅉あ䝁䅧杣療䡁䅕睚潂䍁䅁党獂䝁䅕睙あ䡁䅉兡橂䝁䅅䅢獁䍁䅁兡畂䝁䅑兤穂䡁䅑杣灂䝁䅅䅢獁䍁䅁兙畂䝁䅑䅉瑂䝁䅕睙潂䝁䅅杢灂䝁䅍兙獂䍁䅁睙療䝁䄴䅤祂䝁䅅睙あ䝁䄸杣穂䍁䅷䅉桂䡁䅍䅉㍂䝁䅕䅢獂䍁䅁兙穂䍁䅁睢祂䝁䅫睚灂䝁䄴兙獂䍁䅁党硂䡁䅕兡睂䝁䄰党畂䡁䅑䅉瑂䝁䅅杢ㅂ䝁䅙兙橂䡁䅑兤祂䝁䅕杣穂䍁䄴䅉啂䝁䅧党杁䝁䅍睢瑂䡁䅁兙畂䡁䅫䅉㍂䝁䅅督杁䝁䅙睢祂䝁䄰党祂䝁䅷入杁䝁䅳杢療䡁䅣杢杁䝁䅅督杁䕁䅅䅤牂䝁䄸杣求䍁䅁兓畂䡁䅑党祂䝁䄴兙あ䝁䅫睢畂䝁䅅䅢杁䕁䅣杣療䡁䅕䅣杁䕁䅫杢橂䍁䄴䅉桂䝁䄴䅚杁䝁䅍䅡桂䝁䄴睚求䝁䅑䅉灂䡁䅑督杁䝁䄴兙瑂䝁䅕䅉あ䝁䄸䅉䉂䡁䅑睡療䡁䅉党杁䕁䅫杢橂䍁䄴䅉灂䝁䄴䅉䝂䝁䅕杙祂䡁䅕兙祂䡁䅫䅉祁䑁䅁杍硁䍁䄴䅉䉂䡁䅑睡療䡁䅉党杁䕁䅫杢橂䍁䄴䅉㍂䝁䅅督杁䝁䅙睢ㅂ䝁䄴䅚求䝁䅑䅉灂䝁䄴䅉硁䑁䅫兎㕁䍁䅁兙畂䝁䅑䅉灂䡁䅍䅉潂䝁䅕兙歂䡁䅅兤桂䡁䅉䅤求䡁䅉党歂䍁䅁兡畂䍁䅁䅓桂䡁䅉杤求䡁䅫䅌杁䕁䅫䅢獂䝁䅫杢療䝁䅫督畁䅁䅁杵䅁䉁䅯䅁䙂䕁䄴䅗啂䙁䅁兑㙁䕁䅅䅔䥂䙁䅉睒䅁䭁䄰䅁㙃元䅁兑あ䝁䅳睢祂䝁䅕䅉䩂䝁䄴睙畁䍁䅁党畂䝁䅣兙湂䝁䅕督杁䝁䅫杢杁䡁䅑䅡求䍁䅁兢桂䝁䄴兤浂䝁䅅睙あ䡁䅕杣求䍁䅁兙畂䝁䅑䅉穂䝁䅅䅢求䍁䅁睢浂䍁䅁党獂䝁䅕睙あ䡁䅉兡橂䝁䅅䅢獁䍁䅁兢求䝁䅍䅡桂䝁䄴兡橂䝁䅅䅢獁䍁䅁督桂䝁䅙党あ䡁䅫䅌杁䝁䅅杢歂䍁䅁兡畂䝁䅙杣桂䡁䅍䅤祂䡁䅕睙あ䡁䅕杣求䍁䅁䅣祂䝁䄸䅚ㅂ䝁䅍䅤穂䍁䅁兙畂䝁䅑䅉穂䝁䄸䅢ㅂ䡁䅑兡療䝁䄴督杁䝁䅫杢杁䡁䅑䅡求䍁䅁兖畂䝁䅫䅤求䝁䅑䅉呂䡁䅑兙あ䝁䅕督杁䝁䅅杢歂䍁䅁兡畂䡁䅑党祂䝁䄴兙あ䝁䅫睢畂䝁䅅䅢獂䡁䅫杌杁䙁䅑䅡求䍁䅁睙療䝁䄰䅣桂䝁䄴入杁䝁䄸杚浂䝁䅕杣穂䍁䅁兢求䡁䅑兙獂䍁䅁党獂䝁䅕睙あ䡁䅉兡橂䝁䅅䅢杁䝁䅍睢畂䝁䅑兤灂䡁䅑䅉桂䝁䄴䅚杁䝁䅙兡あ䡁䅑兡畂䝁䅣督獁䍁䅁䅣獂䝁䅅督あ䝁䅫睙杁䡁䅁兡睂䝁䅕䅉橂䝁䄸杢歂䡁䅕兡あ䍁䅁兙畂䝁䅑䅉浂䝁䅫䅤あ䝁䅫杢湂䡁䅍䅌杁䝁䅕䅢求䝁䅍䅤祂䝁䅫睙桂䝁䅷䅉橂䝁䅅杙獂䝁䅕䅉桂䝁䄴䅚杁䝁䅙䅢求䡁䅧兡楂䝁䅷党杁䝁䅍睢畂䝁䅑兤灂䡁䅑䅌杁䝁䅅杢歂䍁䅁兡畂䡁䅑党祂䝁䄴兙あ䝁䅫睢畂䝁䅅䅢杁䝁䅍兙楂䝁䅷党杁䝁䄰兙畂䝁䅅睚求䝁䄰党畂䡁䅑䅉穂䡁䅫督あ䝁䅕兢穂䑁䅳䅉桂䝁䄴䅚杁䝁䄰党橂䝁䅧兙畂䝁䅫睙桂䝁䅷䅉あ䡁䅕杙求䡁䅍䅉桂䝁䄴䅚杁䡁䅁兡睂䝁䅕督獁䍁䅁兢求䡁䅑兙獂䍁䅁杚祂䝁䅅兢灂䝁䄴睚杁䝁䅅杢歂䍁䅁杚灂䡁䅑䅤灂䝁䄴睚穂䍁䅷䅉橂䝁䄸杢穂䡁䅑杣ㅂ䝁䅍䅤灂䝁䄸杢杁䡁䅍党祂䡁䅙兡橂䝁䅕督獁䍁䅁䅣求䡁䅉兡瑂䝁䅕䅤求䡁䅉䅉穂䝁䅕睙ㅂ䡁䅉兡あ䡁䅫䅌杁䝁䅅杢歂䍁䅁睙桂䝁䅉䅢求䍁䅁兢桂䝁䄴兙湂䝁䅕兢求䝁䄴䅤杁䝁䅙睢祂䍁䅁䅤潂䝁䅕䅉睂䡁䅉睢あ䝁䅕睙あ䝁䅫睢畂䍁䅁兙畂䝁䅑䅉祂䝁䅕䅢灂䝁䅅杙灂䝁䅷兡あ䡁䅫䅉療䝁䅙䅉橂䡁䅉兡あ䝁䅫睙桂䝁䅷䅉灂䝁䄴杚祂䝁䅅督あ䡁䅉兤橂䡁䅑兤祂䝁䅕杌杁䙁䅑䅡求䍁䅁睙療䝁䄰䅣桂䝁䄴入杁䝁䄸杚浂䝁䅕杣穂䍁䅁兡あ䡁䅍䅉睂䡁䅉睢歂䡁䅕睙あ䡁䅍䅉ㅂ䝁䄴䅚求䡁䅉䅉あ䝁䅧党杁䕁䅅䅢獂䝁䅫党歂䍁䅁䅖ㅂ䝁䅉党杁䍁䅙䅉䑂䝁䄸杢歂䡁䅕兡あ䍁䅷䅉䉂䕁䅙睑杁䕁䅍兙楂䝁䅷党杁䙁䅍入穂䡁䅑党瑂䡁䅍䅌杁䕁䅳兙浂䍁䄰䅖求䝁䅍䅡獁䍁䅁䅓求䡁䅉兡あ䝁䅅睚求䍁䅁䅕獂䝁䅅督あ䝁䅫睙穂䍁䅷䅉噂䝁䄴兡穂䡁䅑杣ㅂ䡁䅑䅌杁䙁䅁睢㍂䝁䅕杣瑁䙁䅍䅤祂䡁䅕䅤獁䍁䅁睑療䡁䅁党獁䍁䅁兖呂䍁䅁䅖祂䝁䅅入獁䍁䅁杒卂䕁䅕䅉䑂䝁䄸兢睂䝁䄸督灂䡁䅑党穂䍁䅷䅉噂䝁䄴兡あ䝁䅕䅚杁䙁䅁睢獂䡁䅫䅉呂䡁䅫督あ䝁䅕兢穂䍁䅷䅉䑂䝁䅅䅢楂䝁䄸杢歂䍁䅷䅉桂䝁䄴䅚杁䕁䅍兙獂䡁䅁兡睂䝁䅕杌杁䕁䅫䅤杁䡁䅍党祂䡁䅙党穂䍁䅁杤桂䡁䅉兡療䡁䅕督杁䝁䅕杢歂䍁䅁兢桂䡁䅉睡求䡁䅑督獁䍁䅁兡畂䝁䅍䅢ㅂ䝁䅑兡畂䝁䅣䅉畂䝁䅕睤杁䝁䅍睢畂䡁䅍䅤祂䡁䅕睙あ䝁䅫睢畂䑁䅳䅉瑂䝁䅅兡畂䡁䅑党畂䝁䅅杢橂䝁䅕䅌杁䡁䅉党睂䝁䅅兡祂䍁䅷䅉桂䝁䄴䅚杁䡁䅉党瑂䝁䄸䅚求䝁䅷睏杁䝁䅫杢浂䡁䅉兙穂䡁䅑杣ㅂ䝁䅍䅤ㅂ䡁䅉党㝁䍁䅁䅚灂䡁䅙党祂䡁䅍兡浂䝁䅫党歂䍁䅁兡畂䝁䅑兤穂䡁䅑杣灂䝁䅅䅢穂䑁䅳䅉桂䝁䅷䅤求䡁䅉杢桂䡁䅑兡㉂䝁䅕䅉睂䝁䄸睤求䡁䅉䅉湂䝁䅕杢求䡁䅉兙あ䝁䅫睢畂䑁䅳䅉潂䝁䅕兙獂䡁䅑䅡橂䝁䅅杣求䑁䅳䅉歂䝁䅅䅤桂䍁䅁睙求䝁䄴䅤求䡁䅉督㝁䍁䅁兙畂䝁䅑䅉湂䝁䄸杤求䡁䅉杢瑂䝁䅕杢あ䡁䅍䅉あ䝁䅧杣療䡁䅕睚潂䍁䅁党獂䝁䅕睙あ䡁䅉兡橂䝁䅅䅢獁䍁䅁兡畂䝁䅑兤穂䡁䅑杣灂䝁䅅䅢獁䍁䅁兙畂䝁䅑䅉穂䡁䅁党橂䝁䅫兙獂䡁䅑入杁䝁䅑兡穂䡁䅑杣灂䝁䅉兤あ䝁䄸杣穂䍁䅷䅉桂䡁䅍䅉㍂䝁䅕䅢獂䍁䅁兙穂䍁䅁睢祂䝁䅫睚灂䝁䄴兙獂䍁䅁党硂䡁䅕兡睂䝁䄰党畂䡁䅑䅉瑂䝁䅅杢ㅂ䝁䅙兙橂䡁䅑兤祂䝁䅕杣穂䍁䄴䅉啂䝁䅧党杁䝁䅍睢瑂䡁䅁兙畂䡁䅫䅉㍂䝁䅅督杁䝁䅙睢祂䝁䄰党祂䝁䅷入杁䝁䅳杢療䡁䅣杢杁䝁䅅督杁䕁䅅䅤牂䝁䄸杣求䍁䅁兓畂䡁䅑党祂䝁䄴兙あ䝁䅫睢畂䝁䅅䅢杁䕁䅣杣療䡁䅕䅣杁䕁䅫杢橂䍁䄴䅉桂䝁䄴䅚杁䝁䅍䅡桂䝁䄴睚求䝁䅑䅉灂䡁䅑督杁䝁䄴兙瑂䝁䅕䅉あ䝁䄸䅉䉂䡁䅑睡療䡁䅉党杁䕁䅫杢橂䍁䄴䅉灂䝁䄴䅉䝂䝁䅕杙祂䡁䅕兙祂䡁䅫䅉祁䑁䅁杍硁䍁䄴䅉䉂䡁䅑睡療䡁䅉党杁䕁䅫杢橂䍁䄴䅉㍂䝁䅅督杁䝁䅙睢ㅂ䝁䄴䅚求䝁䅑䅉灂䝁䄴䅉硁䑁䅫兎㕁䍁䅁兙畂䝁䅑䅉灂䡁䅍䅉潂䝁䅕兙歂䡁䅅兤桂䡁䅉䅤求䡁䅉党歂䍁䅁兡畂䍁䅁䅓桂䡁䅉杤求䡁䅫䅌杁䕁䅫䅢獂䝁䅫杢療䝁䅫督畁䅁䅁公䅅䵁䕉䅁䉂䡁䅑䅢桂䡁䅍䅉䙂䝁䄴睚灂䝁䄴党求䡁䅉党歂䍁䅁䅕祂䝁䄸䅚ㅂ䝁䅍䅤穂䍁䅁䅔あ䝁䅑杌杁䝁䅕杢湂䝁䅅睚求䡁䅍䅉灂䝁䄴䅉あ䝁䅧党杁䝁䅑党穂䝁䅫睚畂䍁䅷䅉瑂䝁䅅杢ㅂ䝁䅙兙橂䡁䅑兤祂䝁䅕䅌杁䝁䅅杢歂䍁䅁督桂䝁䅷党杁䝁䄸杚杁䝁䅕杢湂䝁䅫杢求䝁䅕杣求䝁䅑䅉祂䝁䄸睢浂䍁䅁䅤祂䡁䅕督穂䝁䅕督獁䍁䅁杚獂䝁䄸睢祂䍁䅁䅤祂䡁䅕督穂䝁䅕督獁䍁䅁兙畂䝁䅑䅉㍂䝁䅅䅢獂䍁䅁䅣桂䝁䄴党獂䡁䅍䅉灂䝁䄴䅉䑂䝁䅅杢桂䝁䅑兙畁䍁䅁䅖潂䝁䅕䅉橂䝁䄸兢睂䝁䅅杢㕂䍁䅁睢浂䝁䅙党祂䡁䅍䅉浂䝁䅷睢療䡁䅉䅉煂䝁䄸兡穂䡁䅑督杁䝁䅅杢歂䍁䅁杚獂䝁䄸睢祂䍁䅁䅣桂䝁䄴党獂䡁䅍睏杁䝁䅅杢歂䍁䅁䅚求䡁䅍兡湂䝁䄴䅌杁䝁䅕杢湂䝁䅫杢求䝁䅕杣灂䝁䄴睚獁䍁䅁䅣求䡁䅉兢灂䡁䅑䅤灂䝁䄴睚獁䍁䅁䅣祂䝁䄸条求䝁䅍䅤杁䝁䄰兙畂䝁䅅睚求䝁䄰党畂䡁䅑䅌杁䝁䅅杢歂䍁䅁督灂䡁䅑党杁䝁䅅督穂䝁䅕兢楂䝁䅷入杁䡁䅍党祂䡁䅙兡橂䝁䅕督畁䍁䅁兓あ䍁䅁兙獂䡁䅍睢杁䝁䅑兡穂䡁䅑杣灂䝁䅉兤あ䝁䅕督杁䝁䅅䅉祂䝁䅅杢湂䝁䅕䅉療䝁䅙䅉求䝁䄴睚灂䝁䄴党求䡁䅉党歂䍁䅁睤療䝁䄸䅚杁䡁䅁杣療䝁䅑兤橂䡁䅑督杁䝁䅙睢祂䍁䅁杙ㅂ䝁䅫䅢歂䝁䅕杣穂䍁䅁睢浂䍁䅁杣求䡁䅍兡歂䝁䅕杢あ䝁䅫兙獂䍁䅁兙畂䝁䅑䅉橂䝁䄸兢瑂䝁䅕杣橂䝁䅫兙獂䍁䅁睤療䝁䄸䅚瑁䝁䅙杣桂䝁䄰党歂䍁䅁杙ㅂ䝁䅫䅢歂䝁䅫杢湂䡁䅍䅌杁䝁䅫杢橂䝁䅷兤歂䝁䅫杢湂䍁䅁督灂䝁䄴睚獂䝁䅕兌浂䝁䅅兢灂䝁䅷入杁䝁䅧睢瑂䝁䅕督獁䍁䅁䅤療䡁䅣杢潂䝁䄸兤穂䝁䅕督獁䍁䅁兢ㅂ䝁䅷䅤灂䍁䄰督あ䝁䄸杣㕂䍁䅁睤療䝁䄸䅚瑁䝁䅙杣桂䝁䄰党歂䍁䅁杣求䡁䅍兡歂䝁䅕杢あ䝁䅫兙獂䍁䅁杙ㅂ䝁䅫䅢歂䝁䅫杢湂䡁䅍䅌杁䝁䅍睢瑂䝁䄰党祂䝁䅍兡桂䝁䅷䅉楂䡁䅕兡獂䝁䅑兡畂䝁䅣督獁䍁䅁兙畂䝁䅑䅉桂䝁䅣杣灂䝁䅍兤獂䡁䅑兤祂䝁䅅䅢杁䡁䅍䅤祂䡁䅕睙あ䡁䅕杣求䡁䅍杌杁䙁䅑䅡求䍁䅁睙療䝁䄰䅣桂䝁䄴入杁䡁䅣兙穂䍁䅁杚療䡁䅕杢歂䝁䅕䅚杁䝁䅫杢杁䑁䅅兏㕁䑁䅫䅉桂䝁䄴䅚杁䝁䅫督杁䝁䅉兙穂䝁䅕䅚杁䝁䅫杢杁䕁䄴兙畂䝁䅅兡瑂䝁䄸䅌杁䕁䅍兙畂䝁䅅䅚桂䍁䄴䅁晁允䅁䅆䅁䕁䅫兕ㅁ䑁䅑䅏㕁䑁䅕兎㉁䅁䅁杩䅅䍁䄴䅁䕂䡁䅫睙療䝁䄰䅉䩂䝁䄴䅚ㅂ䡁䅍䅤祂䝁䅫党穂䍁䅷䅉䩂䝁䄴睙畁䅁䅁全䅁䉁䅧䅁䩂䙁䅅杍祁䑁䅍兏穁䑁䅣䅏睁䑁䅁䅁慂允䅁䅋䅁䕁䅍兙畂䝁䅅䅚灂䝁䅅杢杁䙁䅍睢獂䝁䅅杣杁䕁䅫杢橂䍁䄴䅁䩁允䅁杊䅁䙁䅉兤穂䡁䅍党獂䍁䅁兔求䡁䅑兙獂䡁䅍䅉䩂䝁䄴睙畁䅁䅁䅶䅁䉁䅁䅁佂䙁䅫睕䙂䑁䅯䅒婂䅁䅁䅨䅁䡁䥁䅁䍂䝁䅅䅢獂䝁䅅杣歂䍁䅁䅕療䡁䅣党祂䍁䅁睕㕂䡁䅍䅤求䝁䄰督杁䕁䅫杢橂䍁䄴䅉求䝁䄴睚桂䝁䅣党穂䍁䅁兡畂䍁䅁䅤潂䝁䅕䅉歂䝁䅕督灂䝁䅣杢獁䍁䅁䅚求䡁䅙党獂䝁䄸䅣瑂䝁䅕杢あ䍁䅷䅉瑂䝁䅅杢ㅂ䝁䅙兙橂䡁䅑兤祂䝁䅕䅌杁䡁䅍兙獂䝁䅕䅌杁䝁䅅杢歂䍁䅁督求䡁䅉杤灂䝁䅍党杁䝁䄸杚杁䡁䅁杣療䡁䅑睢畂䍁䅁党㑂䝁䅍䅡桂䝁䄴睚求䍁䅁兢求䝁䄰杙祂䝁䅅杢求䍁䅁䅋兂䕁䅕兔灁䍁䅁杚ㅂ䝁䅕䅢杁䝁䅍党獂䝁䅷䅉睂䡁䅉睢歂䡁䅕睙あ䡁䅍杌杁䙁䅑䅡求䍁䅁睙療䝁䄰䅣桂䝁䄴入杁䝁䄸杚浂䝁䅕杣穂䍁䅁兡あ䡁䅍䅉睂䡁䅉睢歂䡁䅕睙あ䡁䅍䅉浂䝁䄸杣杁䡁䅁睢㍂䝁䅕杣杁䡁䅁杣療䝁䅑兤橂䡁䅑䅉橂䝁䄸兢睂䡁䅉兡穂䝁䅫杢湂䍁䅁杚療䡁䅉䅉楂䡁䅕督獁䍁䅁䅤祂䡁䅕睙牂䍁䅷䅉祂䝁䅅兡獂䍁䅷䅉瑂䝁䅅杣灂䝁䄴党獁䍁䅁督あ䝁䅅䅤灂䝁䄸杢桂䡁䅉入獁䍁䅁兙畂䝁䅑䅉求䝁䄰党祂䝁䅣兡畂䝁䅣䅉瑂䝁䅅杣牂䝁䅕䅤獁䍁䅁督ㅂ䝁䅍䅡杁䝁䅅督杁䝁䄰兙あ䝁䅕杣灂䝁䅅䅢杁䝁䅧兙畂䝁䅑䅢灂䝁䄴睚獁䍁䅁睢浂䝁䅙兌祂䝁䄸兙歂䍁䅷䅉桂䝁䄴䅚杁䝁䄸䅤潂䝁䅕杣杁䝁䅅䅣睂䝁䅷兡橂䝁䅅䅤灂䝁䄸杢穂䍁䄴䅉䩂䡁䅑䅉桂䝁䅷督療䍁䅁党畂䝁䅣兙湂䝁䅕督杁䝁䅫杢杁䡁䅑䅡求䍁䅁䅚求䝁䅷兡㉂䝁䅕杣㕂䍁䅁睢浂䍁䅁督求䡁䅉杤灂䝁䅍党穂䍁䅷䅉灂䝁䄴睙獂䡁䅕䅚灂䝁䄴睚杁䡁䅑党橂䝁䅧杢療䝁䅷睢湂䡁䅫䅉穂䝁䄸䅢ㅂ䡁䅑兡療䝁䄴督獁䍁䅁兙浂䡁䅑党祂䍁䅁督桂䝁䅷党穂䍁䅁督求䡁䅉杤灂䝁䅍党穂䍁䅷䅉桂䝁䄴䅚杁䡁䅑杣桂䝁䅫杢灂䝁䄴睚㝁䍁䅁兙畂䝁䅑䅉睂䡁䅉睢㉂䝁䅫督灂䝁䄸杢杁䝁䄸杚杁䝁䅕杢湂䝁䅫杢求䝁䅕杣灂䝁䄴睚杁䡁䅍党祂䡁䅙兡橂䝁䅕督獁䍁䅁䅣祂䝁䄸䅚ㅂ䝁䅍䅤杁䝁䅅杢歂䍁䅁督㕂䡁䅍䅤求䝁䄰督杁䝁䅫杢あ䝁䅕睚祂䝁䅅䅤灂䝁䄸杢杁䡁䅍党祂䡁䅙兡橂䝁䅕督獁䍁䅁兙畂䝁䅑䅉祂䝁䅕䅢桂䡁䅑党歂䍁䅁䅤求䝁䅍䅡畂䝁䄸䅢療䝁䅣入杁䡁䅑杣桂䝁䄴督浂䝁䅕杣杁䝁䅙睢祂䍁䅁兙杁䡁䅙兙祂䝁䅫党あ䡁䅫䅉療䝁䅙䅉兂䕁䅕兔杁䝁䅙兤求䝁䅷䅉橂䝁䅕䅢獂䍁䅁兙睂䡁䅁䅢灂䝁䅍兙あ䝁䅫睢畂䡁䅍杌杁䕁䅫䅤杁䝁䄸䅣求䡁䅉兙あ䝁䅕督杁䝁䅫杢杁䡁䅑䅡求䍁䅁兖畂䝁䅫䅤求䝁䅑䅉呂䡁䅑兙あ䝁䅕督獁䍁䅁睒求䡁䅉兢桂䝁䄴入獁䍁䅁睑桂䝁䄴兙歂䝁䅅䅌杁䕁䅍䅡灂䝁䄴兙獁䍁䅁䅕療䝁䅷兙畂䝁䅑䅌杁䡁䅑䅡求䍁䅁兖畂䝁䅫䅤求䝁䅑䅉䱂䝁䅫杢湂䝁䅑睢瑂䍁䅷䅉あ䝁䅧党杁䕁䄴党あ䝁䅧党祂䝁䅷兙畂䝁䅑督獁䍁䅁杒祂䝁䅅杢橂䝁䅕䅌杁䕁䅑党畂䝁䄰兙祂䝁䅳䅌杁䕁䅉党獂䝁䅣兡ㅂ䝁䄰䅌杁䕁䅫杢歂䝁䅫兙獁䍁䅁䅖桂䝁䅫睤桂䝁䄴䅌杁䙁䅍䅣桂䝁䅫杢獁䍁䅁杔療䡁䅉睤桂䡁䅫䅌杁䕁䅅兤穂䡁䅑杣桂䝁䅷兡桂䍁䅷䅉䭂䝁䅅䅣桂䝁䄴䅌杁䝁䅅杢歂䍁䅁兡畂䡁䅑党祂䝁䄴兙あ䝁䅫睢畂䝁䅅䅢獂䡁䅫杌杁䙁䅑䅡求䍁䅁睙療䝁䄰䅣桂䝁䄴入杁䝁䅧兙穂䍁䅁兙杁䡁䅍䅤祂䝁䅅䅤求䝁䅣兡橂䍁䅁兙獂䝁䅷兡桂䝁䄴睙求䍁䅁睤灂䡁䅑䅡杁䕁䅷兡畂䝁䅅兢桂䡁䅉䅉䑂䝁䄸杣睂䝁䄸杣桂䡁䅑兡療䝁䄴䅉浂䝁䄸杣杁䡁䅑䅡求䍁䅁睙療䍁䄰䅚求䡁䅙党獂䝁䄸䅣瑂䝁䅕杢あ䍁䅁兙畂䝁䅑䅉穂䝁䅅䅢求䍁䅁睢浂䍁䅁杚ㅂ䝁䅕䅢杁䝁䅍党獂䝁䅷䅉睂䝁䄸睤求䡁䅉䅤祂䝁䅅兡畂䡁䅍䅉桂䝁䄴䅚杁䝁䅍睢瑂䡁䅁睢畂䝁䅕杢あ䡁䅍䅉浂䝁䄸杣杁䝁䅍䅢桂䡁䅍督杁䑁䅅䅉桂䝁䄴䅚杁䑁䅉䅉㉂䝁䅕䅡灂䝁䅍䅢求䡁䅍䅉灂䝁䄴䅉佂䝁䄸杣あ䝁䅧䅉䉂䝁䄰党祂䝁䅫睙桂䍁䅁兙畂䝁䅑䅉䙂䡁䅕杣療䡁䅁党畁䍁䅁村桂䝁䅷䅢桂䡁䅉䅚杁䙁䅁睢㍂䝁䅕杣杁䙁䅍入穂䡁䅑党瑂䡁䅍䅉䩂䝁䄴睙畁䍁䅁睤桂䡁䅍䅉浂䝁䄸兤畂䝁䅑党歂䍁䅁兡畂䍁䅁免㕁䑁䅣兏杁䝁䅅杢歂䍁䅁兡穂䍁䅁䅡求䝁䅅䅚硂䡁䅕兙祂䡁䅑党祂䝁䅕䅚杁䝁䅫杢杁䕁䅉兤祂䝁䄴兙楂䡁䅫䅌杁䕁䅍兙畂䝁䅅䅚桂䍁䄴䅁䭁允䅁杌䅁䕁䅉兡祂䝁䅑䅉䑂䝁䄸杢穂䡁䅑杣ㅂ䝁䅍䅤灂䝁䄸杢杁䕁䅫杢橂䍁䄴䅁摂䅁䅁䅉䅁䕁䅉睢瑂䝁䅉兙祂䝁䅑兡求䡁䅉䅉䩂䝁䄴睙畁䅁䅁䅇䅅䉁䅉䅁佂䙁䅫睕䙂䑁䅯兑偂䙁䅍䅁ぁ䅁䅁杋䅑䕁䅉睢瑂䝁䅉兙祂䝁䅑兡求䡁䅉䅉䩂䝁䄴睙畁䍁䅁党畂䝁䅣兙湂䝁䅕督杁䝁䅫杢杁䡁䅑䅡求䍁䅁䅚求䡁䅍兡湂䝁䄴䅌杁䝁䄰兙畂䡁䅕杚桂䝁䅍䅤ㅂ䡁䅉党獁䍁䅁兙畂䝁䅑䅉穂䝁䅅䅢求䍁䅁睢浂䍁䅁杙ㅂ䡁䅍兡畂䝁䅕督穂䍁䅁兙灂䡁䅉睙祂䝁䅅杚あ䍁䅁兙畂䝁䅑䅉桂䝁䅫杣橂䡁䅉兙浂䡁䅑䅉穂䡁䅑杣ㅂ䝁䅍䅤ㅂ䡁䅉兙獂䍁䅁睙療䝁䄰䅣療䝁䄴党畂䡁䅑督杁䡁䅣睢祂䝁䅷䅚㍂䝁䅫䅚求䍁䄴䅉䩂䡁䅑䅉睂䡁䅉睢㉂䝁䅫䅚求䡁䅍䅉畂䝁䅕睤杁䝁䅅兡祂䝁䅍杣桂䝁䅙䅤獁䍁䅁督睂䝁䅕睙灂䝁䅅䅢灂䡁䅯党歂䍁䅁兙灂䡁䅉睙祂䝁䅅杚あ䍁䅁督療䝁䅷兤あ䝁䅫睢畂䡁䅍䅌杁䝁䅅杢歂䍁䅁䅣祂䝁䅕兌療䡁䅣杢求䝁䅑䅉桂䝁䅫杣橂䡁䅉兙浂䡁䅑杌杁䙁䅑䅡求䍁䅁睙療䝁䄰䅣桂䝁䄴入杁䝁䅅䅢穂䝁䄸䅉療䝁䅙杚求䡁䅉督杁䝁䅅杚あ䝁䅕杣瑂䝁䅅杣牂䝁䅕䅤杁䡁䅍党祂䡁䅙兡橂䝁䅕督獁䍁䅁兡畂䝁䅍䅢ㅂ䝁䅑兡畂䝁䅣䅉睂䝁䅅杣あ䡁䅍䅌杁䡁䅍党祂䡁䅙兡橂䝁䅕䅉橂䝁䅕杢あ䝁䅕杣穂䍁䅷䅉穂䝁䄰兙祂䡁䅑䅉穂䝁䅕杣㉂䝁䅫睙求䡁䅍䅌杁䡁䅑杣桂䝁䅫杢灂䝁䄴睚獁䍁䅁兙畂䝁䅑䅉あ䝁䅕睙潂䝁䄴兡橂䝁䅅䅢杁䡁䅁兤楂䝁䅷兡橂䝁䅅䅤灂䝁䄸杢穂䍁䄴䅉䩂䡁䅑䅉穂䝁䅕杣㉂䝁䅕督杁䝁䄰兤獂䡁䅑兡畂䝁䅅䅤灂䝁䄸杢桂䝁䅷䅉橂䝁䄸杣睂䝁䄸杣桂䡁䅑兡療䝁䄴督獁䍁䅁睙潂䝁䅅杣あ䝁䅕杣杁䝁䅅杢歂䍁䅁杚祂䝁䅅睙あ䝁䅫睢畂䝁䅅䅢杁䝁䄸睤畂䝁䅕杣穂䝁䅧兡睂䍁䅁䅣祂䝁䄸杤灂䝁䅑党祂䡁䅍䅌杁䝁䅣睢㉂䝁䅕杣畂䝁䄰党畂䡁䅑督獁䍁䅁兙畂䝁䅑䅉睂䡁䅉兡㉂䝁䅅䅤求䍁䅁兡畂䝁䅑兡㉂䝁䅫䅚ㅂ䝁䅅䅢穂䍁䄴䅉啂䝁䅧党杁䝁䅍睢瑂䡁䅁兙畂䡁䅫䅉㍂䝁䅅督杁䝁䅫杢橂䝁䄸杣睂䝁䄸杣桂䡁䅑党歂䍁䅁兡畂䍁䅁免㕁䑁䅁杍杁䝁䅅杢歂䍁䅁兡穂䍁䅁杙桂䡁䅍党歂䍁䅁兡畂䍁䅁䅒療䡁䅉杤桂䝁䅷䅌杁䕁䅍兙畂䝁䅅䅚桂䍁䄴䅁坁允䅁杅䅁䕁䅫兕㑁䑁䅙䅏㍁䑁䅫杍䅁䕁䉕䅁畁䅁䅁村ㅂ䝁䅧䅢求䡁䅉䅉䩂䝁䄴䅚ㅂ䡁䅍䅤祂䝁䅫党穂䍁䅁兓畂䝁䅍杌䅁䉁䈴䅁䥃睂䅁睕ㅂ䡁䅁杣求䝁䄰党㑂䍁䅁兓畂䝁䅍杌杁䝁䅕杢湂䝁䅅睚求䡁䅍䅉灂䝁䄴䅉あ䝁䅧党杁䝁䄰兙畂䡁䅕杚桂䝁䅍䅤ㅂ䡁䅉党杁䝁䅅杢歂䍁䅁兢桂䡁䅉睡求䡁䅑督杁䝁䅕杢㉂䝁䅕䅢療䡁䅁党穂䍁䅷䅉桂䝁䄴䅚杁䡁䅁兙睂䝁䅕杣瑁䝁䅉兙穂䝁䅕䅚杁䡁䅁兙橂䝁䅳兙湂䝁䅫杢湂䍁䅁督療䝁䅷兤あ䝁䅫睢畂䡁䅍䅉桂䝁䄴䅚杁䡁䅍䅣求䝁䅍兡桂䝁䅷䅤㕂䍁䅁䅣祂䝁䄸䅚ㅂ䝁䅍䅤穂䍁䅁䅤療䍁䅁睙療䡁䅉䅣療䡁䅉兙あ䝁䅫睢畂䡁䅍䅌杁䡁䅉党穂䝁䅕䅢獂䝁䅕杣穂䍁䅷䅉湂䝁䄸杤求䡁䅉杢瑂䝁䅕杢あ䍁䅁党畂䡁䅑兡あ䝁䅫党穂䍁䅷䅉穂䝁䄰兙獂䝁䅷䅉桂䝁䄴䅚杁䝁䄰党歂䝁䅫兤瑂䍁䅁督灂䡁䅯党歂䍁䅁党畂䡁䅑党祂䡁䅁杣灂䡁䅍党穂䍁䅷䅉歂䝁䅫杣求䝁䅍䅤杁䝁䄰兙灂䝁䅷党祂䡁䅍䅌杁䝁䅅杢歂䍁䅁督療䝁䅷兤あ䝁䅫睢畂䡁䅍䅉睂䡁䅉睢㉂䝁䅫䅚求䡁䅉督杁䡁䅁杣灂䝁䄰兙祂䝁䅫䅢㕂䍁䅁兡畂䍁䅁睑桂䝁䄴兙歂䝁䅅䅉桂䝁䄴䅚杁䡁䅑䅡求䍁䅁兖畂䝁䅫䅤求䝁䅑䅉呂䡁䅑兙あ䝁䅕督畁䍁䅁䅖潂䝁䅕䅉橂䝁䄸兢睂䝁䅅杢㕂䍁䅁睢浂䝁䅙党祂䡁䅍䅉桂䍁䅁杣桂䝁䄴睚求䍁䅁睢浂䍁䅁督あ䝁䄸睙牂䍁䅁兙畂䝁䅑䅉橂䡁䅕督あ䝁䄸兢杁䝁䅕杢㉂䝁䅕䅢療䡁䅁党穂䍁䅁兡畂䍁䅁杤桂䡁䅉兡療䡁䅕督杁䡁䅍䅤㕂䝁䅷党穂䍁䅷䅉穂䝁䅧兙睂䝁䅕督獁䍁䅁兙畂䝁䅑䅉橂䝁䄸䅢療䡁䅉督㝁䍁䅁兙畂䝁䅑䅉求䍁䄰睑療䝁䄰兢求䡁䅉睙求䍁䅁杚ㅂ䝁䅷杚灂䝁䅷䅢瑂䝁䅕杢あ䍁䅁䅣桂䝁䅍睡桂䝁䅣兡畂䝁䅣䅉穂䝁䄸䅢ㅂ䡁䅑兡療䝁䄴督㝁䍁䅁䅢桂䝁䅉党獂䡁䅍睏杁䡁䅁睢獂䡁䅫党あ䝁䅧入獂䝁䅕杢求䍁䅁杙桂䝁䅣督杁䝁䅙睢祂䍁䅁睙療䡁䅕杣灂䝁䅕杣杁䝁䅅䅣睂䝁䅷兡橂䝁䅅䅤灂䝁䄸杢穂䑁䅳䅉桂䝁䄴䅚杁䝁䅉兤楂䝁䅉䅢求䍁䅁兢桂䝁䅫䅢求䡁䅉督畁䍁䅁兓あ䍁䅁兙獂䡁䅍睢杁䡁䅁杣療䡁䅙兡歂䝁䅕督杁䝁䅍睢瑂䝁䄰党祂䝁䅍兡桂䝁䅷䅉睂䡁䅉兡畂䡁䅑兡畂䝁䅣䅉穂䝁䅕杣㉂䝁䅫睙求䡁䅍䅌杁䝁䅫杢橂䝁䅷兤歂䝁䅫杢湂䍁䅁䅣祂䝁䅫杢あ䝁䅫杢湂䍁䅷䅉睂䝁䅅睙牂䝁䅅睚灂䝁䄴睚杁䝁䅅杢歂䍁䅁䅚灂䡁䅍䅣獂䝁䅅入穂䍁䅷䅉浂䝁䅫杢灂䡁䅍䅡灂䝁䄴睚獁䍁䅁兙畂䝁䅑䅉獂䝁䅅杣湂䝁䅕䅉浂䝁䄸杣瑂䝁䅅䅤杁䡁䅍党祂䡁䅙兡橂䝁䅕督畁䍁䅁䅖潂䝁䅕䅉橂䝁䄸兢睂䝁䅅杢㕂䍁䅁督求䡁䅉杤求䡁䅍䅉㉂䝁䅅杣灂䝁䄸兤穂䍁䅁兡畂䝁䅑兤穂䡁䅑杣灂䝁䅕督獁䍁䅁兡畂䝁䅍䅢ㅂ䝁䅑兡畂䝁䅣䅉睂䝁䅧兙祂䝁䄰兙橂䝁䅕兤あ䝁䅫睙桂䝁䅷䅌杁䡁䅣兡畂䝁䅕䅉桂䝁䄴䅚杁䡁䅍䅣灂䡁䅉兡あ䡁䅍䅌杁䡁䅁党祂䡁䅍睢畂䝁䅅䅢杁䝁䅍兙祂䝁䅕䅉桂䝁䄴䅚杁䝁䅉党桂䡁䅕䅤㕂䍁䅷䅉睂䝁䅅睙牂䝁䅅睚灂䝁䄴睚獁䍁䅁党橂䝁䄸兢瑂䝁䅕杣橂䝁䅕䅌杁䝁䄴兤あ䡁䅉兙橂䝁䅕兤あ䝁䅫睙桂䝁䅷䅌杁䝁䅙睢療䝁䅑䅉桂䝁䄴䅚杁䝁䅉党㉂䝁䅕杣桂䝁䅣党獁䍁䅁兙睂䡁䅁兙祂䝁䅕䅢獁䍁䅁杚ㅂ䝁䅷杚灂䝁䅷䅢瑂䝁䅕杢あ䍁䅷䅉睂䡁䅉党穂䝁䅕杢あ䝁䅅䅤灂䝁䄸杢獁䍁䅁兙畂䝁䅑䅉歂䝁䅫督睂䝁䅷兙㕂䍁䅁兙畂䝁䅑䅉睂䡁䅉睢瑂䝁䄸䅤灂䝁䄸杢桂䝁䅷䅉睂䡁䅉兡畂䡁䅑䅉桂䝁䄴䅚杁䡁䅁兙橂䝁䅳兙湂䝁䅫杢湂䍁䅁兡畂䝁䅑兤穂䡁䅑杣灂䝁䅕督畁䍁䅁睕ㅂ䡁䅁杣求䝁䄰党㑂䍁䅁兓畂䝁䅍杌杁䡁䅣兙穂䍁䅁杚療䡁䅕杢歂䝁䅕䅚杁䝁䅫杢杁䑁䅅兏㍁䑁䅣䅉桂䝁䄴䅚杁䝁䅫督杁䝁䅉兙穂䝁䅕䅚杁䝁䅫杢杁䕁䅷兙穂䝁䅅䅢獂䝁䅕䅌杁䕁䅍兙畂䝁䅅䅚桂䍁䄴䅁ㅄ䅁䅁杆䅁䕁䅫兕ㅁ䑁䅧免㍁䑁䅁䅏㉁䑁䅫䅁乃允䅁䅱䅑䕁䅉兤潂䝁䅷党祂䍁䅁兓畂䝁䅑兤穂䡁䅑杣灂䝁䅕督杁䕁䅫杢橂䍁䄴䅌杁䡁䅑䅡祂䝁䄸兤湂䝁䅧䅉灂䡁䅑督杁䡁䅍兤楂䡁䅍兡歂䝁䅫兙祂䝁䅫党穂䍁䅷䅉瑂䝁䅅杢ㅂ䝁䅙兙橂䡁䅑兤祂䝁䅕督杁䝁䅅杢歂䍁䅁督求䝁䅷䅢穂䍁䅁兙湂䡁䅉兡橂䡁䅕䅢あ䡁䅕杣桂䝁䅷䅉求䡁䅅兤灂䡁䅁兢求䝁䄴䅤杁䝁䅫杢杁䕁䄴睢祂䡁䅑䅡杁䕁䅅兢求䡁䅉兡橂䝁䅅杌杁䕁䅫䅤穂䍁䅁䅣祂䝁䅫杢橂䝁䅫䅣桂䝁䅷䅉睂䡁䅉睢歂䡁䅕睙あ䡁䅍䅉灂䝁䄴睙獂䡁䅕䅚求䍁䅁䅤祂䝁䅅睙あ䝁䄸杣穂䍁䅷䅉桂䡁䅕睚求䡁䅉督獁䍁䅁督畂䝁䄸睤杁䝁䅉䅢療䡁䅣党祂䡁䅍䅌杁䝁䅍睢瑂䡁䅁兙橂䡁䅑䅉灂䝁䄰䅣獂䝁䅕兢求䝁䄴䅤穂䍁䅷䅉桂䝁䄴䅚杁䝁䄰睢㍂䝁䅕杣穂䍁䄴䅉啂䝁䅧党杁䝁䅍睢瑂䡁䅁兙畂䡁䅫䅉瑂䝁䅅兡畂䡁䅑兙灂䝁䄴督杁䡁䅁兙祂䡁䅑督杁䡁䅣兙祂䝁䅕䅡療䡁䅕督求䡁䅍杌杁䕁䅫䅤杁䝁䄰兙祂䝁䅳党あ䡁䅍䅉灂䡁䅑督杁䡁䅁杣療䝁䅑兤橂䡁䅑督杁䡁䅁杣灂䝁䄰兙祂䝁䅫䅢㕂䍁䅁兤畂䝁䅑党祂䍁䅁䅤潂䝁䅕䅉䝂䝁䅅杣瑂䍁䅁睓灂䝁䄴睚獁䍁䅁兒㙂䝁䅕党瑁䕁䄸杢獁䍁䅁兑獂䝁䅷兡求䝁䅑䅌杁䕁䅫杢獂䝁䅅杢歂䍁䅷䅉桂䝁䄴䅚杁䙁䅙党祂䡁䅍兙あ䝁䅫䅢求䍁䅁杙祂䝁䅅杢歂䍁䅁杢桂䝁䄰党穂䍁䅁䅤潂䡁䅉睢ㅂ䝁䅣䅡杁䝁䅅䅉歂䝁䅕兙獂䝁䅕杣癁䝁䅑兡穂䡁䅑杣灂䝁䅉兤あ䝁䅫睢畂䍁䅁杢求䡁䅑睤療䡁䅉睡畁䍁䅁村ㅂ䝁䅧䅢求䡁䅉䅉䩂䝁䄴䅚ㅂ䡁䅍䅤祂䝁䅫党穂䍁䅁兓畂䝁䅍杌杁䡁䅣兙穂䍁䅁杚療䡁䅕杢歂䝁䅕䅚杁䝁䅫杢杁䑁䅅兏穁䑁䅉䅉桂䝁䄴䅚杁䝁䅫督杁䝁䅧党桂䝁䅑兣ㅂ䝁䅅杣あ䝁䅕杣求䝁䅑䅉灂䝁䄴䅉塂䝁䅫杢畂䝁䅫䅣求䝁䅣䅌杁䕁䅍兙畂䝁䅅䅚桂䍁䄴䅉䍂䡁䅕䅡獂䝁䅕杣杁䕁䅫杢歂䡁䅕督あ䡁䅉兡求䡁䅍䅉䩂䝁䄴睙畁䍁䅁兡穂䍁䅁兙杁䡁䅍兤楂䡁䅍兡歂䝁䅫兙祂䡁䅫䅉療䝁䅙䅉䍂䝁䅅督桂䝁䅳䅉啂䡁䅉兙牂䡁䅑睢祂䍁䅁䅖桂䡁䅉兡瑂䍁䅁杗灂䡁䅉兙桂䡁䅑䅉坂䝁䅕䅉䩂䡁䅍䅉乂䝁䅅睡灂䝁䄴兙獂䝁䅅杣灂䍁䅁睕桂䝁䄴兙㕂䝁䅫䅉啂䝁䅫睙桂䡁䅉党あ䍁䅁兑畂䝁䄸杢灂䝁䄰䅉呂䝁䅫杣牂䝁䅕䅤灂䍁䄴䅁扁允䅁䅃䅁䕁䅙兕硁䅁䅁睚䅁䉁䅁䅁啂䙁䅍䅗㙁䙁䅑睕䵂䅁䅁末䅁䅁䄴䅁䑂䙁䅫杍睁䑁䅉䅎䅁䭁䅅䅁䥁䅁䅁睑䉂䕁䅑䅁䵁䅁䅁杅䅁䕁䅫兕㉁䑁䅙免㉁䑁䅕䅍䅁䥁䉫䅁潁䅁䅁睑䑂䕁䅷䅉䩂䝁䄴䅚ㅂ䡁䅍䅤祂䝁䅫党穂䍁䅁兓畂䝁䅍杌䅁佁䅫䅁慃杄䅁杒獂䡁䅕睢祂䍁䅁睑療䡁䅉䅣療䡁䅉兙あ䝁䅫睢畂䍁䅁䅣祂䝁䄸杤灂䝁䅑党穂䍁䅁党畂䝁䅣兡畂䝁䅕党祂䝁䅫杢湂䍁䅷䅉睂䡁䅉睢橂䡁䅕杣求䝁䄰党畂䡁䅑䅌杁䝁䅅杢歂䍁䅁睙療䝁䄴督あ䡁䅉兤橂䡁䅑兡療䝁䄴䅉潁䕁䅕䅕䑂䍁䅫睏杁䝁䅙兙楂䡁䅉兡橂䝁䅅䅤灂䝁䄸杢杁䝁䅅杢歂䍁䅁兢療䝁䅑兤獂䝁䅅杣灂䡁䅯兙あ䝁䅫睢畂䑁䅳䅉療䡁䅁党祂䝁䅅䅤灂䝁䄸杢杁䝁䅅杢歂䍁䅁兢桂䝁䅫杢あ䝁䅕杢桂䝁䄴睙求䑁䅳䅉桂䡁䅍督求䡁䅑䅉灂䝁䄴䅤求䝁䅣杣灂䡁䅑入㝁䍁䅁兙畂䝁䅑䅉睂䡁䅉睢煂䝁䅕睙あ䍁䅁兢桂䝁䄴兙湂䝁䅕兢求䝁䄴䅤杁䡁䅍党祂䡁䅙兡橂䝁䅕督杁䡁䅣睢祂䝁䅷䅚㍂䝁䅫䅚求䍁䄴䅉啂䝁䅧党杁䝁䅍睢瑂䡁䅁兙畂䡁䅫䅉療䡁䅁党祂䝁䅅䅤求䡁䅍䅉あ䝁䅧杣療䡁䅕睚潂䍁䅁兒畂䝁䅕杣湂䡁䅫䅉呂䝁䄸䅢ㅂ䡁䅑兡療䝁䄴督獁䍁䅁兖祂䝁䅉兙畂䍁䅁睕療䝁䅷兤あ䝁䅫睢畂䡁䅍䅌杁䕁䄰兡穂䡁䅍兡療䝁䄴䅉呂䝁䄸䅢ㅂ䡁䅑兡療䝁䄴督獁䍁䅁兙畂䝁䅑䅉偂䡁䅑䅡求䡁䅉䅉穂䝁䅕睚瑂䝁䅕杢あ䡁䅍杌杁䙁䅑䅡求䍁䅁兒畂䝁䅕杣湂䡁䅫䅉呂䝁䄸䅢ㅂ䡁䅑兡療䝁䄴督杁䡁䅍党湂䝁䄰党畂䡁䅑䅉睂䡁䅉睢㉂䝁䅫䅚求䡁䅍䅉穂䝁䄸䅢ㅂ䡁䅑兡療䝁䄴督杁䡁䅑睢杁䡁䅑䅡求䍁䅁党畂䝁䅕杣湂䡁䅫䅉あ䡁䅉兙畂䡁䅍兡あ䝁䅫睢畂䍁䅁兢桂䡁䅉睡求䡁䅑督獁䍁䅁兡畂䝁䅍䅢ㅂ䝁䅑兡畂䝁䅣䅉桂䡁䅍督求䡁䅑䅉歂䝁䅕睙桂䡁䅉杙療䝁䄴兡㙂䝁䅅䅤灂䝁䄸杢獁䍁䅁睙桂䡁䅉杙療䝁䄴䅉橂䝁䅅䅣あ䡁䅕杣求䍁䅷䅉祂䝁䅕杢求䡁䅣兙楂䝁䅷党杁䝁䅙兤求䝁䅷督獁䍁䅁睤桂䡁䅍䅤求䍁䄰䅤療䍁䄰党畂䝁䅕杣湂䡁䅫䅌杁䝁䅣杣求䝁䅕杢杁䝁䅍䅡求䝁䄰兡橂䝁䅅䅢穂䍁䅷䅉潂䡁䅫䅚祂䝁䄸睚求䝁䄴䅌杁䝁䄴兤橂䝁䅷党桂䡁䅉䅉睂䝁䄸睤求䡁䅉䅌杁䝁䅅杢歂䍁䅁睢あ䝁䅧党祂䍁䅁䅢療䡁䅣兌橂䝁䅅杣楂䝁䄸杢杁䝁䅕杢求䡁䅉睚㕂䍁䅁督療䡁䅕杣橂䝁䅕督畁䍁䅁兓あ䍁䅁兙獂䡁䅍睢杁䡁䅁杣療䡁䅙兡歂䝁䅕督杁䝁䅍睢畂䡁䅍兤獂䡁䅑兡畂䝁䅣䅉穂䝁䅕杣㉂䝁䅫睙求䡁䅍䅌杁䝁䅫杢橂䝁䅷兤歂䝁䅫杢湂䍁䅁杚求䝁䅅督灂䝁䅉兡獂䝁䅫䅤㕂䍁䅁督あ䡁䅕䅚灂䝁䅕督獁䍁䅁䅣祂䝁䄸睙求䡁䅍督杁䝁䅅督穂䝁䅕督穂䝁䄰党畂䡁䅑督獁䍁䅁兙畂䝁䅑䅉睂䡁䅉睢煂䝁䅕睙あ䍁䅁杚灂䝁䄴兙畂䝁䅍党杁䡁䅍䅤祂䡁䅕睙あ䡁䅕杣灂䝁䄴睚㝁䍁䅁兙畂䝁䅑䅉桂䍁䅁杣桂䝁䄴睚求䍁䅁睢浂䍁䅁督求䡁䅉杤灂䝁䅍党穂䍁䅁杚療䡁䅉䅉穂䝁䄰兙獂䝁䅷䅉瑂䝁䄸䅚ㅂ䝁䅷兙祂䍁䅁杣求䝁䅅睙あ䝁䄸杣杁䡁䅑党橂䝁䅧杢療䝁䅷睢湂䝁䅫党穂䍁䅷䅉橂䝁䄸杢㉂䝁䅕杢あ䝁䅫睢畂䝁䅅䅢杁䝁䅅杢歂䍁䅁兙歂䡁䅙兙畂䝁䅍党歂䍁䅁杢ㅂ䝁䅍䅢求䝁䅅杣杁䡁䅉党桂䝁䅍䅤療䡁䅉䅉あ䝁䅕睙潂䝁䄴睢獂䝁䄸睚灂䝁䅕督畁䍁䅁䅖潂䝁䅫督杁䡁䅍党湂䝁䄰党畂䡁䅑䅉穂䝁䅕杣㉂䝁䅕督杁䡁䅑䅡求䍁䅁䅣祂䝁䄸䅚ㅂ䝁䅍䅤灂䝁䄸杢杁䝁䅅杢歂䍁䅁杚ㅂ䝁䅕䅢穂䍁䅷䅉橂䝁䅧党瑂䝁䅫睙桂䝁䅷督獁䍁䅁䅔佂䕁䅣䅌杁䡁䅁睢㍂䝁䅕杣杁䝁䄰兙祂䝁䅳党あ䡁䅍䅌杁䝁䅍䅡求䝁䄰兡橂䝁䅅䅢穂䍁䅁兙畂䝁䅑䅉睂䝁䅕䅤祂䝁䄸睙潂䝁䅕兢灂䝁䅍兙獂䍁䅁兡畂䝁䅑兤穂䡁䅑杣灂䝁䅕督畁䍁䅁䅖潂䝁䅕䅉噂䡁䅉杙桂䝁䄴䅉呂䝁䄸䅢ㅂ䡁䅑兡療䝁䄴督杁䡁䅍党湂䝁䄰党畂䡁䅑䅉療䝁䅙杚求䡁䅉督杁䕁䅕䅕䑂䍁䅁兙畂䝁䅑䅉睂䡁䅉睢煂䝁䅕睙あ䍁䅁兢桂䝁䄴兙湂䝁䅕兢求䝁䄴䅤杁䡁䅍党祂䡁䅙兡橂䝁䅕督杁䡁䅑睢杁䡁䅑䅡求䍁䅁兡畂䝁䅙杣桂䡁䅍䅤祂䡁䅕睙あ䡁䅕杣求䍁䅷䅉桂䝁䅑杤桂䝁䄴睙求䝁䅑䅉あ䝁䅕睙潂䝁䄴睢獂䝁䄸睚灂䝁䅕督獁䍁䅁䅢灂䝁䅙党杁䡁䅍睙灂䝁䅕杢橂䝁䅕督獁䍁䅁兙畂䝁䅑䅉瑂䝁䅫杢灂䝁䄴睚杁䝁䅅杢歂䍁䅁兢求䡁䅑兙獂䡁䅍䅉灂䝁䄴䅚ㅂ䡁䅍䅤祂䝁䅫党穂䍁䄴䅉啂䝁䅧兡穂䍁䅁督求䝁䅣兢求䝁䄴䅤杁䝁䅅䅢穂䝁䄸䅉睂䡁䅉睢㉂䝁䅫䅚求䡁䅍䅉穂䡁䅑兙浂䝁䅙兡畂䝁䅣䅉穂䝁䅕杣㉂䝁䅫睙求䡁䅍䅉あ䝁䄸䅉あ䝁䅧党杁䝁䅍睢瑂䡁䅁兙畂䡁䅫䅉桂䝁䄴䅚杁䡁䅑䅡灂䡁䅉䅚瑁䡁䅁兙祂䡁䅑入杁䝁䅍䅢灂䝁䅕杢あ䡁䅍䅉㍂䝁䅫䅤潂䍁䅁䅤求䝁䅍䅡畂䝁䅫睙桂䝁䅷䅌杁䡁䅁杣療䝁䅙党穂䡁䅍兡療䝁䄴兙獂䍁䅷䅉桂䝁䄴䅚杁䝁䅍杣桂䝁䅙䅤杁䡁䅉党穂䝁䄸兤祂䝁䅍党穂䍁䅁睢畂䍁䅁兙杁䝁䅍睢畂䡁䅑杣桂䝁䅍䅤杁䝁䄸杣杁䡁䅁党祂䝁䄰兙畂䝁䅕杢あ䍁䅁䅣獂䝁䅅睙求䝁䄰党畂䡁䅑䅉楂䝁䅅督灂䡁䅍杌杁䙁䅑䅡求䍁䅁兔灂䡁䅍督灂䝁䄸杢杁䙁䅍睢獂䡁䅕䅤灂䝁䄸杢穂䍁䅁督求䝁䅣兢求䝁䄴䅤杁䝁䄸杚浂䝁䅕杣穂䍁䅁䅤求䝁䅍䅡畂䝁䅫睙桂䝁䅷䅉穂䝁䄸䅢ㅂ䡁䅑兡療䝁䄴督杁䡁䅑睢杁䡁䅑䅡求䍁䅁兖畁䙁䅍杌杁䝁䅅杢歂䍁䅁睢あ䝁䅧党祂䍁䅁睚療䡁䅙党祂䝁䄴兢求䝁䄴䅤穂䍁䄴䅉䩂䡁䅑䅉桂䝁䅷督療䍁䅁䅚求䝁䅷兡㉂䝁䅕杣穂䍁䅁督療䝁䅷兤あ䝁䅫睢畂䡁䅍䅉浂䝁䄸杣杁䝁䄴兤橂䝁䅷党桂䡁䅉䅉穂䝁䅕睙ㅂ䡁䅉兡あ䡁䅫䅉桂䝁䄴䅚杁䝁䄸䅣求䡁䅉兙あ䝁䅫睢畂䍁䅷䅉畂䡁䅕睙獂䝁䅕兙祂䍁䅁睤桂䡁䅍䅤求䍁䅁兢桂䝁䄴兙湂䝁䅕兢求䝁䄴䅤獁䍁䅁兙畂䝁䅑䅉獂䝁䅅杙療䡁䅉兙あ䝁䄸杣㕂䍁䅁兢桂䝁䄴兙湂䝁䅕兢求䝁䄴䅤㝁䍁䅁兙畂䝁䅑䅉療䡁䅁党祂䝁䅅䅤灂䝁䄸杢杁䝁䅅杢歂䍁䅁兢桂䝁䅫杢あ䝁䅕杢桂䝁䄴睙求䍁䅷䅉獂䝁䄸睚灂䡁䅍䅤灂䝁䅍督獁䍁䅁兒兂䕁䅍䅌杁䝁䅅杢歂䍁䅁䅢灂䝁䅙党杁䡁䅍兤睂䡁䅁睢祂䡁䅑䅉穂䝁䄸䅢ㅂ䡁䅑兡療䝁䄴督杁䝁䅙睢祂䍁䅁兢灂䡁䅍督灂䝁䄸杢瑁䝁䅍杣灂䡁䅑兡橂䝁䅅䅢杁䝁䅙兙橂䝁䅫䅢灂䡁䅑兡求䡁䅍䅉桂䝁䅍杣療䡁䅍督杁䙁䅕杌呂䍁䄴䅉瑂䝁䅫䅢灂䡁䅑兙祂䡁䅫䅉穂䝁䅕杣㉂䝁䅫睙求䍁䅁睢祂䝁䅣兙畂䝁䅫来桂䡁䅑兡療䝁䄴督畁䍁䅁䅖潂䝁䅫督杁䡁䅍党湂䝁䄰党畂䡁䅑䅉療䝁䅙杚求䡁䅉督杁䡁䅍兡あ䝁䅕䅉瑂䝁䅅杢桂䝁䅣党瑂䝁䅕杢あ䍁䅷䅉求䝁䄴杤灂䡁䅉睢畂䝁䄰党畂䡁䅑兙獂䍁䅁杣求䝁䄰党歂䝁䅫兙あ䝁䅫睢畂䍁䅷䅉桂䝁䄴䅚杁䝁䅑党橂䝁䄸兢瑂䝁䅫督穂䝁䅫睢畂䝁䅫杢湂䍁䅁杚療䡁䅉䅉畂䡁䅕睙獂䝁䅕兙祂䍁䅁杣求䝁䄰党歂䝁䅫兙あ䝁䅫睢畂䍁䅁兙あ䍁䅁睚療䡁䅙党祂䝁䄴兢求䝁䄴䅤桂䝁䅷䅉浂䝁䅅睙灂䝁䅷兡あ䝁䅫党穂䍁䅷䅉桂䡁䅍䅉㍂䝁䅕䅢獂䍁䅁兙穂䍁䅁督求䡁䅉杤灂䝁䅍党穂䍁䅁䅤療䍁䅁睙療䝁䄰兢求䡁䅉睙灂䝁䅅䅢杁䝁䄴兤橂䝁䅷党桂䡁䅉䅉橂䝁䅷兡求䝁䄴䅤穂䍁䄴䅉䝂䝁䅷兤療䡁䅉䅉䑂䝁䄸杣睂䝁䄸杣桂䡁䅑兡療䝁䄴䅉㍂䝁䅅督杁䝁䅙睢ㅂ䝁䄴䅚求䝁䅑䅉灂䝁䄴䅉硁䑁䅫免祁䍁䅁兙畂䝁䅑䅉灂䡁䅍䅉潂䝁䅕兙歂䡁䅅兤桂䡁䅉䅤求䡁䅉党歂䍁䅁兡畂䍁䅁兓祂䡁䅙兡畂䝁䅣䅌杁䙁䅑党㑂䝁䅅督畁䅁䅁公䅁䡁䰴䅁䑂䕁䅍䅔杁䕁䅫杢歂䡁䅕督あ䡁䅉兡求䡁䅍䅉䩂䝁䄴睙畁䍁䅁兢桂䝁䄴兤浂䝁䅅睙あ䡁䅕杣求䡁䅍䅉桂䝁䄴䅚杁䡁䅍党獂䝁䅷督杁䝁䅷兙楂䝁䅕䅢穂䍁䅷䅉橂䝁䄸杢穂䡁䅕兢求䡁䅉䅉睂䡁䅉兡畂䡁䅑兙楂䝁䅷党杁䝁䄰党歂䝁䅫兙杁䡁䅁杣療䝁䅑兤橂䡁䅑督獁䍁䅁䅤求䝁䅍䅡畂䝁䄸䅢療䝁䅣入瑁䝁䅑杣灂䡁䅙党畂䍁䅁䅢桂䝁䅉党獂䍁䅁督療䝁䅷兤あ䝁䅫睢畂䡁䅍䅌杁䡁䅁睢獂䡁䅫兢求䡁䅉䅉楂䝁䅅杢牂䝁䄴睢あ䝁䅕䅉穂䡁䅕杙穂䡁䅑杣桂䡁䅑党穂䍁䅷䅉桂䝁䄴䅚杁䡁䅍䅣求䝁䅍兡桂䝁䅷䅤㕂䍁䅁杚灂䝁䅷兢穂䍁䄴䅉䩂䡁䅑䅉療䡁䅁党祂䝁䅅䅤求䡁䅍䅉あ䝁䅧杣療䡁䅕睚潂䍁䅁睑䑂䕁䅷䅌杁䕁䅅杤求䡁䅉入獁䍁䅁睑潂䝁䅕睙牂䡁䅁睢灂䝁䄴䅤獁䍁䅁兙畂䝁䅑䅉䩂䝁䄴杢療䡁䅙兡桂䍁䅁督求䝁䅣兢求䝁䄴䅤穂䍁䄴䅉啂䝁䅧党杁䕁䅍睑䵂䍁䅁督求䝁䅣兢求䝁䄴䅤杁䝁䅍睢畂䡁䅙党祂䡁䅑督杁䡁䅁杣求䡁䅍督ㅂ䡁䅉党杁䡁䅍党畂䡁䅍兡あ䝁䅫杤求䍁䅁兙畂䝁䅑䅉求䡁䅧䅤祂䡁䅕䅚求䝁䅑䅉浂䝁䅫䅢瑂䍁䅁兢桂䡁䅑党祂䝁䅫兙獂䡁䅍䅉浂䝁䄸杣杁䝁䅅䅉祂䝁䅅杢湂䝁䅕䅉療䝁䅙䅉歂䝁䅕睙療䡁䅉兙あ䝁䅫杤求䍁䅷䅉灂䝁䄴督あ䡁䅉兤橂䡁䅑兡療䝁䄴兙獂䍁䅷䅉穂䝁䅕睙ㅂ䡁䅉兡あ䡁䅫䅌杁䝁䅅杢歂䍁䅁杚ㅂ䝁䄴睙あ䝁䅫睢畂䝁䅅䅢杁䝁䅅䅣睂䝁䅷兡橂䝁䅅䅤灂䝁䄸杢穂䍁䅁杚療䡁䅉䅉湂䝁䄸杤求䡁䅉杢瑂䝁䅕杢あ䍁䅁兡畂䡁䅍䅤灂䡁䅑兤あ䝁䅫睢畂䡁䅍䅉桂䝁䄴䅚杁䝁䅣䅢療䝁䅉兙獂䍁䅁睙ㅂ䡁䅍䅤療䝁䄰党祂䡁䅍䅉灂䝁䄴䅉橂䝁䄸杢穂䡁䅕兢求䡁䅉䅉睂䝁䅅睙牂䝁䅅睚灂䝁䄴睚獁䍁䅁䅡求䝁䅅䅢あ䝁䅧睙桂䡁䅉党獁䍁䅁睙潂䝁䅕兢灂䝁䅍兙獂䡁䅍䅌杁䝁䅍睢畂䡁䅍兤瑂䝁䅕杣杁䝁䅑兤祂䝁䅅杙獂䝁䅕督獁䍁䅁党獂䝁䅕睙あ䡁䅉睢畂䝁䅫睙杁䝁䅑党㉂䝁䅫睙求䍁䅷䅉桂䝁䄴䅚杁䝁䅅兤あ䝁䄸兢療䡁䅑兡㉂䝁䅕䅉瑂䝁䅅杣牂䝁䅕䅤穂䍁䄴䅉啂䝁䅧党杁䕁䅅杤求䡁䅉入杁䡁䅍党湂䝁䄰党畂䡁䅑䅉穂䡁䅕䅣睂䝁䅷兡求䡁䅍䅉獂䝁䅅杙求䝁䅷督獁䍁䅁督睂䝁䅕睙灂䝁䅅䅢あ䡁䅫䅉橂䝁䄸杢㉂䝁䅕杣あ䝁䅕䅚杁䝁䄰党歂䝁䅫兙獁䍁䅁兙畂䝁䅑䅉穂䝁䄸杚あ䡁䅣兙祂䝁䅕䅉穂䝁䄸䅢ㅂ䡁䅑兡療䝁䄴督杁䡁䅑睢杁䝁䅕杢桂䝁䅉䅢求䍁䅁督潂䝁䄸杣あ䍁䄰杣ㅂ䝁䄴䅉歂䝁䅫睚灂䡁䅑兙獂䍁䅁䅣祂䝁䅫杢あ䝁䅫杢湂䍁䅁兡畂䍁䅁杙ㅂ䡁䅍兡畂䝁䅕督穂䝁䅕督杁䝁䅅杢歂䍁䅁䅡療䝁䄰党穂䍁䅁兙獂䝁䄸杢湂䡁䅍兡歂䝁䅕䅉橂䝁䄸兢睂䝁䅷党瑂䝁䅕杢あ䝁䅅杣㕂䍁䅁䅣祂䝁䄸䅚ㅂ䝁䅍䅤穂䍁䅁督療䝁䅷䅚杁䡁䅑䅡祂䝁䄸兤湂䝁䅧䅉歂䝁䅫督あ䡁䅉兡楂䡁䅕䅤療䡁䅉督獁䍁䅁兢桂䡁䅍督瑁䝁䄰兙祂䝁䅳党あ䍁䅁督あ䝁䄸杣求䡁䅍䅌杁䝁䅅杢歂䍁䅁党瑁䝁䅍睢瑂䝁䄰党祂䝁䅍党杁䡁䅉党あ䝁䅅兡獂䝁䅕杣穂䍁䄴䅉啂䝁䅧党杁䕁䅍䅡求䝁䅍睡睂䝁䄸兡畂䡁䅑䅉穂䝁䅕睚瑂䝁䅕杢あ䍁䅁党畂䝁䅣兙湂䝁䅕督杁䝁䅫杢杁䝁䅑党㉂䝁䅕䅢療䡁䅁兡畂䝁䅣䅉祂䝁䅅䅚灂䝁䄸䅉浂䡁䅉党硂䡁䅕党畂䝁䅍入杁䝁䅅杢歂䍁䅁杣桂䝁䅑兡療䍁䅁杚祂䝁䅕兣ㅂ䝁䅕杢橂䡁䅫䅉灂䝁䅑党畂䡁䅑兡浂䝁䅫睙桂䡁䅑兡療䝁䄴兌楂䝁䅅督求䝁䅑䅉あ䝁䅕睙潂䝁䄴睢獂䝁䄸睚㕂䍁䅁督㕂䡁䅍䅤求䝁䄰督杁䝁䅙睢祂䍁䅁䅢療䡁䅍督杁䡁䅁杣求䡁䅙党畂䡁䅑兡療䝁䄴䅉桂䝁䄴䅚杁䝁䅫杢㉂䝁䅕杢あ䝁䄸杣㕂䍁䅁兢桂䝁䄴兙湂䝁䅕兢求䝁䄴䅤杁䝁䅅䅣睂䝁䅷兡橂䝁䅅䅤灂䝁䄸杢穂䍁䅷䅉灂䝁䄴睙獂䡁䅕䅚灂䝁䄴睚杁䝁䅷兙楂䝁䅕䅢灂䝁䄴睚杁䝁䅅杢歂䍁䅁䅤桂䝁䅣睚灂䝁䄴睚杁䡁䅍睢獂䡁䅕䅤灂䝁䄸杢穂䍁䅁杚療䡁䅉䅉あ䝁䅧党杁䡁䅉党あ䝁䅅兡獂䍁䅁兙畂䝁䅑䅉桂䡁䅁䅣桂䡁䅉党獂䍁䅁兡畂䝁䅑兤穂䡁䅑杣灂䝁䅕督畁䍁䅁䅖潂䝁䅕䅉䩂䝁䄴杢療䡁䅙兡桂䍁䅁督求䝁䅣兢求䝁䄴䅤杁䡁䅍兤睂䡁䅁䅢灂䝁䅕督杁䝁䅉兡桂䡁䅧兡桂䝁䅷䅢㕂䍁䅁睢祂䝁䅫党畂䡁䅑党歂䍁䅁䅣療䝁䅷入睂䡁䅉睢睂䡁䅫䅢求䝁䄴党杁䝁䅙兡獂䝁䄰督杁䡁䅑睢杁䝁䅍兤穂䡁䅑睢瑂䝁䅕杣穂䍁䅁兡畂䍁䅁䅤潂䝁䅕䅉睂䡁䅉党穂䡁䅍兤祂䝁䅕䅉穂䝁䅕杢穂䝁䅫䅤灂䡁䅙党杁䝁䅷兙楂䝁䅕䅢杁䝁䄰兙あ䝁䅕杣灂䝁䅅䅢穂䍁䅷䅉浂䝁䅷党㑂䝁䅫杙獂䝁䅕䅉睂䝁䅅睙牂䝁䅅睚灂䝁䄴睚獁䍁䅁兙畂䝁䅑䅉橂䝁䄸杢穂䡁䅕兢求䡁䅉䅉睂䝁䅅睙牂䝁䅅睚求䝁䅑䅉湂䝁䄸睢歂䡁䅍䅉灂䝁䄴䅚ㅂ䡁䅍䅤祂䝁䅫党穂䍁䄴䅉啂䝁䅧党杁䝁䅍睢瑂䡁䅁兙畂䡁䅫䅉療䡁䅁党祂䝁䅅䅤求䡁䅍䅉灂䝁䄴䅉䑂䝁䅅杢桂䝁䅑兙獁䍁䅁䅤潂䝁䅕䅉噂䝁䄴兡あ䝁䅕䅚杁䙁䅍䅤桂䡁䅑党穂䍁䅷䅉兂䡁䅕党祂䡁䅑睢杁䙁䅉兡橂䝁䄸䅌杁䕁䄰党㑂䝁䅫睙療䍁䅷䅉䍂䡁䅉兙㙂䝁䅫䅢獁䍁䅁睑潂䝁䅫䅢求䍁䅷䅉䉂䡁䅉睚求䝁䄴䅤灂䝁䄴兙獁䍁䅁兒ㅂ䡁䅉睢睂䝁䅕䅌杁䕁䅅督灂䝁䅅䅌杁䕁䅅兤穂䡁䅑杣桂䝁䅷兡桂䍁䅷䅉䉂䝁䅙杣灂䝁䅍兙獁䍁䅁兙畂䝁䅑䅉佂䝁䅕睤杁䙁䅯党桂䝁䅷兙畂䝁䅑杌杁䕁䅍睑䵂䍁䅁兓畂䝁䅑兤穂䡁䅑杣灂䝁䅕督杁䕁䅫杢橂䍁䄴䅉㍂䝁䅅督杁䝁䅙睢ㅂ䝁䄴䅚求䝁䅑䅉灂䝁䄴䅉硁䑁䅫兎硁䍁䅁兙畂䝁䅑䅉灂䡁䅍䅉潂䝁䅕兙歂䡁䅅兤桂䡁䅉䅤求䡁䅉党歂䍁䅁兡畂䍁䅁䅖療䡁䅉睢畂䡁䅑睢獁䍁䅁睑桂䝁䄴兙歂䝁䅅杌䅁佁䅯䅁捁䅁䅁睑桂䡁䅍睙桂䝁䅑党穂䍁䅁兓畂䝁䅍杌䅁佁䅷䅁畁䅁䅁睑療䡁䅉䅣療䡁䅉兙あ䝁䅫睢畂䡁䅍䅉潁䙁䅁杣灂䡁䅙兙あ䝁䅕克䅁䥁䉳䅁祂兂䅁䅒䩂䙁䅉䅖啂䍁䅁兒畂䡁䅙兡祂䝁䄸杢瑂䝁䅕杢あ䝁䅅䅢杁䙁䅍睢獂䡁䅕䅤灂䝁䄸杢穂䍁䅁䅔あ䝁䅑杌杁䝁䄸䅣求䡁䅉兙あ䝁䅕督杁䝁䅅督杁䝁䅅䅉灂䝁䄴䅤求䡁䅉兡療䡁䅉䅉橂䝁䄸杢穂䡁䅑杣ㅂ䝁䅍䅤灂䝁䄸杢杁䝁䅍睢瑂䡁䅁兙畂䡁䅫䅉灂䝁䄴䅉䑂䝁䅅杢桂䝁䅑兙畁䍁䅁兓あ䡁䅍䅉䩂䕁䅍兒杁䡁䅍睢浂䡁䅑睤桂䡁䅉党杁䡁䅁杣療䡁䅙兡歂䝁䅕督杁䡁䅑䅡求䍁䅁兡畂䝁䅑兤穂䡁䅑杣灂䝁䅅䅢灂䡁䅯党歂䍁䅁睙療䝁䄴督あ䡁䅉兤橂䡁䅑兡療䝁䄴䅉穂䡁䅫督あ䝁䅕兢杁䡁䅑睢杁䝁䅑党穂䝁䅫睚畂䍁䅷䅉㉂䝁䅫督ㅂ䝁䅅䅢灂䡁䅯党獁䍁䅁睢祂䝁䅣兙畂䝁䅫来求䍁䅷䅉橂䝁䄸杢浂䝁䅫睚ㅂ䡁䅉党獁䍁䅁䅣祂䝁䅫睙求䍁䅷䅉瑂䝁䅅杢ㅂ䝁䅙兙橂䡁䅑兤祂䝁䅕䅌杁䝁䅅督穂䝁䅕兢楂䝁䅷党獁䍁䅁兙畂䝁䅑䅉灂䝁䄴督あ䝁䅅䅢獂䍁䅁䅤潂䝁䅕䅉煂䝁䄸杙畁䍁䅁䅖潂䝁䅕䅉橂䝁䄸兢睂䝁䅅杢㕂䍁䅁睢浂䝁䅙党祂䡁䅍䅉灂䝁䄴䅤求䡁䅉兡療䡁䅉䅉穂䝁䄸䅢ㅂ䡁䅑兡療䝁䄴督杁䡁䅑睢杁䝁䅑睢療䡁䅉督獁䍁䅁睙桂䡁䅍党㍂䝁䄸杣牂䍁䅷䅉あ䝁䅫兢楂䝁䅕杣獁䍁䅁党獂䝁䅕睙あ䡁䅉兡橂䝁䅅䅢獁䍁䅁杢求䡁䅑睤療䡁䅉睡穂䍁䅷䅉桂䝁䅍睙求䡁䅍督杁䝁䅙䅢療䝁䄸杣穂䍁䅷䅉桂䝁䄴䅚杁䡁䅍睢獂䝁䅫䅚獁䍁䅁睚獂䝁䅅督穂䍁䅷䅉橂䝁䄸兢楂䝁䅫杢桂䡁䅑兡療䝁䄴䅌杁䝁䅷党桂䝁䅙䅉浂䝁䄸䅢歂䝁䅫杢湂䍁䅷䅉桂䝁䄴䅚杁䝁䅧党桂䝁䅑睤桂䝁䅷䅢穂䍁䄴䅉䩂䡁䅑䅉穂䝁䅕杣㉂䝁䅕督杁䝁䅧党桂䝁䅷䅤潂䝁䅍兙祂䝁䅕䅌杁䝁䅕䅚ㅂ䝁䅍兙あ䝁䅫睢畂䍁䅷䅉浂䝁䅫杢桂䝁䄴睙灂䝁䅅䅢杁䡁䅍党祂䡁䅙兡橂䝁䅕督獁䍁䅁睚療䡁䅙党祂䝁䄴兢求䝁䄴䅤杁䝁䅅杢歂䍁䅁兢灂䝁䅷兡あ䝁䅅杣㕂䍁䅷䅉瑂䝁䅅杢ㅂ䝁䅙兙橂䡁䅑兤祂䝁䅫杢湂䍁䅷䅉畂䝁䄸杢瑁䡁䅁杣療䝁䅙兡あ䍁䅷䅉求䝁䄴党祂䝁䅣入獁䍁䅁䅣祂䝁䄸杚求䡁䅍督灂䝁䄸杢桂䝁䅷䅉穂䝁䅕杣㉂䝁䅫睙求䡁䅍䅌杁䡁䅉党あ䝁䅅兡獂䍁䅷䅉あ䝁䅕睙潂䝁䄴睢獂䝁䄸睚㕂䍁䅷䅉桂䝁䄴䅚杁䝁䅧睢穂䡁䅁兡あ䝁䅅䅢灂䡁䅑入杁䝁䅫杢歂䡁䅕督あ䡁䅉兡求䡁䅍杌杁䕁䅑兓卂䙁䅑䅖杁䕁䅕杢㉂䝁䅫杣療䝁䄴兢求䝁䄴䅤桂䝁䅷䅉呂䝁䄸䅢ㅂ䡁䅑兡療䝁䄴督杁䕁䅷䅤歂䍁䄴䅉㍂䝁䅅督杁䝁䅫杢橂䝁䄸杣睂䝁䄸杣桂䡁䅑党歂䍁䅁兡畂䍁䅁杍睁䑁䅁睍杁䝁䅅杢歂䍁䅁兡穂䍁䅁䅡求䝁䅅䅚硂䡁䅕兙祂䡁䅑党祂䝁䅕䅚杁䝁䅫杢杁䕁䅍兙獂䝁䅣兙祂䡁䅫䅌杁䕁䅍兙畂䝁䅅䅚桂䍁䄴䅁⽄䅁䅁䅷䅕䙁䅍䅤求䝁䅷䅢桂䍁䄰杓療䝁䄴党穂䍁䅁兓畂䝁䅍杌杁䡁䅁杣療䝁䅑兤橂䝁䅕督杁䝁䅅杢歂䍁䅁督求䝁䅷䅢穂䍁䅁䅣祂䝁䅕督穂䡁䅕杣求䍁䄰䅤祂䝁䅕兙あ䝁䅕䅚杁䡁䅣睢療䝁䅑䅉睂䡁䅉睢歂䡁䅕睙あ䡁䅍䅉灂䝁䄴䅉䑂䝁䅅杢桂䝁䅑兙杁䝁䅅杢歂䍁䅁䅤潂䝁䅕䅉噂䝁䄴兡あ䝁䅕䅚杁䙁䅍䅤桂䡁䅑党穂䍁䄴䅉䩂䡁䅑䅉療䡁䅁党祂䝁䅅䅤求䡁䅍䅉あ䝁䅧杣療䡁䅕睚潂䍁䅁䅤㍂䝁䄸䅉穂䝁䅕睚瑂䝁䅕杢あ䡁䅍䅌杁䙁䅁杣求䡁䅍督ㅂ䡁䅉党瑁䙁䅑杣求䝁䅅䅤求䝁䅑䅉塂䝁䄸睢歂䑁䅳䅉桂䝁䄴䅚杁䕁䅷睢湂䡁䅍䅉桂䝁䄴䅚杁䕁䅷兤瑂䝁䅉党祂䍁䄴䅉啂䝁䅧党杁䝁䅍睢瑂䡁䅁兙畂䡁䅫䅉療䝁䅙杚求䡁䅉督杁䡁䅉兙灂䝁䅷睤桂䡁䅫䅉あ䝁䅫党穂䍁䅁兙畂䝁䅑䅉あ䝁䅫兢楂䝁䅕杣穂䍁䅁杚療䡁䅉䅉穂䝁䅧睢祂䡁䅑䅉獂䝁䅫杢求䍁䅁兙畂䝁䅑䅉橂䝁䄸兢瑂䝁䅕杣橂䝁䅫兙獂䍁䅁杣桂䝁䅫䅢祂䝁䄸兙歂䍁䅁睢睂䝁䅕杣桂䡁䅑睢祂䡁䅍睏杁䝁䅅杢歂䍁䅁睤療䝁䄸䅚杁䡁䅕䅤灂䝁䅷兡あ䡁䅫䅉睂䝁䄸䅢求䡁䅍䅉浂䝁䄸杣杁䝁䅕䅢求䝁䅍䅤祂䝁䅫睙桂䝁䅷䅉ㅂ䡁䅑兡獂䝁䅫䅤灂䝁䅕督杁䝁䅅杢歂䍁䅁䅤求䝁䅷党橂䝁䄸兢瑂䡁䅕杢灂䝁䅍兙あ䝁䅫睢畂䍁䅁睙療䝁䄰䅣桂䝁䄴兡求䡁䅍杌杁䕁䅫䅤杁䝁䅅䅢穂䝁䄸䅉睂䡁䅉睢㉂䝁䅫䅚求䡁䅍䅉祂䝁䅕督灂䝁䅑党畂䡁䅑兡桂䝁䅷䅉獂䡁䅕兢楂䝁䅕杣杁䝁䅅杢歂䍁䅁兙橂䝁䅍党穂䡁䅍睢祂䝁䅫党穂䍁䅁䅤療䍁䅁杣求䡁䅑兙灂䝁䅷党祂䡁䅍䅉浂䝁䄸杣杁䝁䄸兤あ䝁䅑睢療䡁䅉䅉桂䡁䅁䅣獂䝁䅫睙桂䡁䅑兡療䝁䄴督㝁䍁䅁兡畂䝁䅑兤穂䡁䅑杣灂䝁䅅䅢杁䡁䅁杣療䝁䅑兤橂䡁䅑督獁䍁䅁睤潂䝁䅫睙潂䍁䅁兡畂䝁䅍䅢ㅂ䝁䅑党杁䡁䅣睢療䝁䅑䅉浂䝁䄸杣杁䡁䅉兙灂䝁䅷睤桂䡁䅫䅉楂䡁䅉兡歂䝁䅣党穂䍁䅁兙畂䝁䅑䅉橂䡁䅉睢穂䡁䅍兡畂䝁䅣督獁䍁䅁兢桂䡁䅉兡畂䝁䅕䅉桂䝁䄴䅚杁䝁䅙睢ㅂ䝁䄴䅚桂䡁䅑兡療䝁䄴䅉睂䝁䅫䅢灂䝁䄴睚穂䍁䅷䅉橂䝁䄸杢穂䡁䅑杣ㅂ䝁䅍䅤灂䝁䄸杢杁䡁䅑兡瑂䝁䅉党祂䡁䅍䅌杁䝁䅅杢歂䍁䅁睙療䝁䅅䅢杁䡁䅑兙祂䍁䄰杙桂䡁䅍党歂䍁䅁䅣祂䝁䄸䅚ㅂ䝁䅍䅤穂䑁䅳䅉桂䝁䄴䅚杁䝁䅷兤瑂䝁䅉党祂䍁䅁杚療䡁䅉䅉獂䝁䄸睙桂䝁䅷䅉潂䝁䄸兢求䍁䄰杙ㅂ䝁䅫䅢歂䝁䅫杢湂䍁䅁兢桂䡁䅉睡求䡁䅑督畁䍁䅁睕あ䝁䅕䅢獂䝁䅅兌䭂䝁䄸杢求䡁䅍䅉䩂䝁䄴睙畁䍁䅁睤桂䡁䅍䅉灂䝁䄴睙療䡁䅉䅣療䡁䅉兙あ䝁䅕䅚杁䝁䅫杢杁䑁䅅兏㕁䑁䅉䅉桂䝁䄴䅚杁䝁䅫督杁䝁䅧党桂䝁䅑兣ㅂ䝁䅅杣あ䝁䅕杣求䝁䅑䅉灂䝁䄴䅉呂䝁䅅兡畂䡁䅑兌䵂䝁䅅兤祂䝁䅕杢あ䍁䅷䅉䑂䝁䅅杢桂䝁䅑兙畁䅁䅁儫䅁䡁䱧䅁䕂䡁䅫睙療䝁䄰䅉䩂䝁䄴䅚ㅂ䡁䅍䅤祂䝁䅫党穂䍁䅷䅉䩂䝁䄴睙畁䍁䅁䅣祂䝁䄸杤灂䝁䅑党穂䍁䅁督睂䝁䅕睙灂䝁䅅䅢あ䡁䅫䅉橂䝁䄸杢あ䡁䅉兙橂䡁䅑兡畂䝁䅣䅉穂䝁䅕杣㉂䝁䅫睙求䡁䅍䅉あ䝁䄸䅉あ䝁䅧党杁䡁䅑党獂䝁䅕睙療䝁䄰兢ㅂ䝁䄴兡橂䝁䅅䅤灂䝁䄸杢穂䍁䅁兡畂䝁䅙杣桂䡁䅍䅤祂䡁䅕睙あ䡁䅕杣求䍁䅁兙畂䝁䅑䅉ㅂ䡁䅑兡獂䝁䅫䅤㕂䍁䅁兡畂䝁䅑兤穂䡁䅑杣灂䝁䅕督杁䝁䅫杢杁䡁䅑䅡求䍁䅁兖畂䝁䅫䅤求䝁䅑䅉呂䡁䅑兙あ䝁䅕督畁䍁䅁䅖潂䝁䅕䅉橂䝁䄸兢睂䝁䅅杢㕂䍁䅁睢浂䝁䅙党祂䡁䅍䅉求䝁䄴睚灂䝁䄴党求䡁䅉兡畂䝁䅣䅉穂䝁䅕杣㉂䝁䅫睙求䡁䅍䅉あ䝁䄸䅉あ䝁䅕䅢求䝁䅍睢瑂䝁䄰兤畂䝁䅫睙桂䡁䅑兡療䝁䄴督杁䡁䅁杣療䡁䅙兡歂䝁䅕杣穂䍁䅷䅉灂䝁䄴睙獂䡁䅕䅚灂䝁䄴睚杁䡁䅑䅡求䍁䅁䅣獂䝁䅅杢畂䝁䅫杢湂䍁䅁兙畂䝁䅑䅉歂䝁䅕督灂䝁䅣杢杁䝁䄸杚杁䝁䅅党祂䝁䅫兙獂䍁䅷䅉ㅂ䝁䄴䅚求䡁䅉睚祂䝁䄸兤畂䝁䅑䅌杁䝁䅅杢歂䍁䅁杙ㅂ䡁䅉兡求䝁䅑䅉浂䝁䅫杙求䡁䅉䅉療䡁䅁䅤灂䝁䅍䅌杁䝁䅍睢睂䡁䅁党祂䍁䅷䅉桂䝁䄴䅚杁䝁䅍睢桂䡁䅧兡桂䝁䅷䅉橂䝁䅅杙獂䝁䅕䅉穂䡁䅫督あ䝁䅕兢穂䑁䅳䅉睂䝁䅷兙橂䝁䅕兢求䝁䄴䅤杁䝁䄸杚杁䝁䅍兙楂䝁䅷党穂䍁䅷䅉祂䝁䅕䅢桂䡁䅑党歂䍁䅁督あ䡁䅉兤橂䡁䅑兤祂䝁䅕督獁䍁䅁兙畂䝁䅑䅉歂䡁䅉睢睂䍁䅁䅢灂䝁䄴党穂䍁䅁杚療䡁䅉䅉あ䝁䅕䅢求䡁䅁䅡療䝁䄴党杁䝁䅍睢瑂䡁䅁兙畂䝁䅫党穂䍁䅁兙畂䝁䅑䅉橂䝁䅅杙獂䝁䅕䅉瑂䡁䅕䅢あ䝁䅫䅣獂䝁䅕䅉穂䡁䅫督あ䝁䅕兢杁䝁䄸䅣求䡁䅉兙あ䝁䄸杣穂䑁䅳䅉睂䡁䅉睢湂䡁䅉兙瑂䍁䅁兙畂䝁䅑䅉睂䡁䅉睢煂䝁䅕睙あ䍁䅁兢桂䝁䄴兙湂䝁䅕兢求䝁䄴䅤獁䍁䅁兙畂䝁䅑䅉灂䝁䄴督睂䝁䅕睙あ䝁䅫睢畂䍁䅁䅣求䡁䅉督療䝁䄴杢求䝁䅷睏杁䝁䅅杢歂䍁䅁睤灂䡁䅉党獂䝁䅕督穂䍁䅁杢求䡁䅑睤療䡁䅉睡穂䍁䅁兡畂䍁䅁睙療䝁䄴杢求䝁䅍䅤灂䝁䄸杢杁䡁䅣兡あ䝁䅧䅉あ䝁䅧党杁䝁䅑党睂䝁䅷睢㕂䝁䄰党畂䡁䅑䅉療䝁䅙䅉瑂䝁䅅睙祂䝁䄸䅉橂䝁䅕䅢獂䍁䅁兙畂䝁䅑䅉畂䝁䅕睤杁䡁䅍兢桂䝁䅷䅢杁䝁䅍党獂䝁䅷䅉穂䝁䅫䅤求䡁䅍杌杁䕁䅫䅤杁䝁䅅䅢穂䝁䄸䅉睂䡁䅉睢㉂䝁䅫䅚求䡁䅍䅉橂䝁䄸杢穂䡁䅑杣ㅂ䝁䅍䅤灂䝁䄸杢獁䍁䅁兢桂䝁䅫杢あ䝁䅕杢桂䝁䄴睙求䍁䅷䅉桂䝁䄴䅚杁䝁䅫杢穂䡁䅑兙獂䝁䅷兙あ䝁䅫睢畂䍁䅁督求䡁䅉杤灂䝁䅍党穂䍁䅷䅉穂䡁䅕睙潂䍁䅁兙穂䍁䅁䅣獂䝁䅅睙求䝁䄰党畂䡁䅑䅉桂䝁䄴䅚杁䡁䅍䅣獂䝁䅫睙灂䝁䄴睚杁䝁䄸杚杁䝁䅍睢睂䡁䅁党祂䍁䅷䅉浂䝁䅫杙求䡁䅉䅌杁䝁䅅杢歂䍁䅁睙療䝁䅅䅥灂䝁䅅䅢杁䝁䅍兙楂䝁䅷党穂䑁䅳䅉あ䝁䄸睤求䡁䅉䅉橂䝁䄸杢穂䡁䅑杣ㅂ䝁䅍䅤灂䝁䄸杢獁䍁䅁䅢灂䝁䄴党穂䍁䅁兙畂䝁䅑䅉桂䝁䄴䅤求䝁䄴杢桂䍁䅁兡畂䡁䅍䅤桂䝁䅷䅢桂䡁䅑兡療䝁䄴䅌杁䝁䅙睢ㅂ䝁䄴䅚桂䡁䅑兡療䝁䄴䅉桂䝁䄴䅚杁䝁䅕兣ㅂ䝁䅫䅣瑂䝁䅕杢あ䍁䅁䅣桂䝁䅑䅉橂䝁䄸杢穂䡁䅑杣ㅂ䝁䅍䅤灂䝁䄸杢獁䍁䅁兙畂䝁䅑䅉穂䝁䄰兙獂䝁䅷䅉橂䝁䅕䅢獂䍁䅁督灂䡁䅑党杁䡁䅁䅢桂䝁䅍党瑂䝁䅕杢あ䍁䅁杚療䡁䅉䅉㍂䝁䅫杣求䝁䅷党穂䡁䅍䅉橂䝁䅅杣祂䝁䅫党祂䡁䅍䅌杁䝁䅅督杁䡁䅣党獂䝁䅷䅉桂䡁䅍䅉求䡁䅅兤灂䡁䅁兢求䝁䄴䅤杁䝁䅫杢穂䡁䅑兙獂䝁䅷兙あ䝁䅫睢畂䍁䅁兙畂䝁䅑䅉瑂䝁䅅䅤求䡁䅉兡桂䝁䅷䅉浂䝁䅅杙祂䝁䅫睙桂䡁䅑兡療䝁䄴䅌杁䝁䅅杢歂䍁䅁督灂䡁䅑党杁䡁䅑党穂䡁䅑兡畂䝁䅣䅉穂䝁䅕杣㉂䝁䅫睙求䡁䅍睏杁䡁䅕杢歂䝁䅕杣湂䡁䅉睢ㅂ䝁䄴䅚杁䝁䅙兙橂䝁䅫䅢灂䡁䅑入杁䝁䅷睢橂䝁䅅䅤灂䝁䄴睚杁䡁䅍党祂䡁䅙兡橂䝁䅕督獁䍁䅁兡畂䝁䅍䅢ㅂ䝁䅑兡畂䝁䅣䅉獂䝁䄸睙桂䡁䅑兡畂䝁䅣䅉あ䝁䅕䅢求䡁䅁䅡療䝁䄴党獁䍁䅁睙桂䝁䅉䅢求䍁䅁䅤求䝁䅷党㉂䝁䅫督灂䝁䄸杢獁䍁䅁䅣療䡁䅣党祂䍁䅷䅉㍂䝁䅅䅤求䡁䅉䅌杁䡁䅍党㍂䝁䅕杣獁䍁䅁兙畂䝁䅑䅉湂䝁䅅督杁䝁䅷兡畂䝁䅕督杁䝁䅙睢祂䍁䅁兤あ䝁䅫䅢灂䡁䅑入杁䝁䅍睢瑂䡁䅁兙畂䝁䅫党穂䑁䅳䅉灂䝁䄴督あ䝁䅅䅢獂䝁䅅䅤灂䝁䄸杢杁䝁䅅杢歂䍁䅁兢桂䝁䅫杢あ䝁䅕杢桂䝁䄴睙求䍁䅁睢浂䍁䅁睙ㅂ䡁䅍䅤療䝁䄰党祂䍁䅁䅣祂䝁䅕兢灂䡁䅍党杁䝁䅕兣ㅂ䝁䅫䅣瑂䝁䅕杢あ䍁䅷䅉灂䝁䄴睙獂䡁䅕䅚灂䝁䄴睚杁䝁䅑兡湂䝁䅫䅤桂䝁䅷䅉㉂䝁䅫䅚求䝁䄸䅉祂䝁䅕睙療䡁䅉䅚求䡁䅉督獁䍁䅁督求䡁䅑䅉あ䝁䄸䅣杁䝁䅉睢㑂䝁䅕督獁䍁䅁兙畂䝁䅑䅉瑂䝁䄸䅚求䝁䄰督杁䝁䅙睢祂䍁䅁睙桂䝁䅉䅢求䍁䅁督㕂䡁䅍䅤求䝁䄰䅉療䡁䅁党祂䝁䅅䅤療䡁䅉督㝁䍁䅁兙畂䝁䅑䅉橂䝁䄸杢穂䡁䅑杣ㅂ䝁䅍䅤灂䝁䄸杢杁䝁䅅杢歂䍁䅁兢桂䝁䅫杢あ䝁䅕杢桂䝁䄴睙求䍁䅁督求䡁䅉杤灂䝁䅍党穂䍁䅁杚療䡁䅉䅉求䝁䅷党橂䡁䅑杣灂䝁䅍䅉桂䝁䄴䅚杁䝁䅣兙穂䍁䅁兤あ䝁䅫䅢灂䡁䅑兡求䡁䅍䅌杁䝁䅅杢歂䍁䅁睢あ䝁䅧党祂䍁䅁睙ㅂ䡁䅍䅤療䝁䄰党祂䡁䅍杌杁䕁䅑入橂䝁䄸兢杁䕁䅫杢歂䡁䅕督あ䡁䅉兡求䡁䅍䅌杁䕁䅫杢橂䍁䄴䅉㍂䝁䅅督杁䝁䅫杢橂䝁䄸杣睂䝁䄸杣桂䡁䅑党歂䍁䅁兡畂䍁䅁免㕁䑁䅙兏杁䝁䅅杢歂䍁䅁兡穂䍁䅁杙桂䡁䅍党歂䍁䅁兡畂䍁䅁䅕桂䝁䅷兢杁䕁䅉党桂䝁䅍䅡杁䕁䅣兙祂䝁䅑党畂䡁䅍䅌杁䕁䅙䅢療䡁䅉兡歂䝁䅅杌䅁䭁䉁䅁ぁ䅁䅁兒㑂䝁䅍睢杁䙁䅑党橂䝁䅧杢療䝁䅷睢湂䝁䅫党穂䍁䅁䅔灂䝁䄰兡あ䝁䅕䅚䅁乁䄴䅁䥁䅁䅁杒婂䑁䅁䅁䩂䅁䅁䅅䅁䙁䅑睕奂䑁䅯睕啂䕁䄴䅁牂䅁䅁杆䅁䙁䅍䅕時䕁䄴兒啂䕁䅑兒䍂䙁䅑䅁䙂䅁䅁䅊䅁䕁䅙䅢ㅂ䝁䄸杣杁䕁䅍睢祂䡁䅁睢祂䝁䅅䅤灂䝁䄸杢䅁䡁䅫䅁坁䅁䅁兓剂䑁䅉䅍㍁䑁䅕䅍㑁䑁䅫䅏䅁䕁䉧䅁奁䅁䅁兓剂䑁䅅䅏穁䑁䅅免㍁䑁䅉䅏㉁䅁䅁䅧䅅䑁䅙䅁䡂䝁䄸杤求䡁䅉杢瑂䝁䅕杢あ䍁䅁䅕求䝁䄴督灂䝁䄸杢杁䙁䅍䅣療䝁䄴督療䡁䅉䅁㕁允䅁䅔䅁䕁䅧兙瑂䝁䄰睢畂䝁䅑䅉乂䝁䅅杢ㅂ䝁䅙兙橂䡁䅑兤祂䝁䅫杢湂䍁䅁睑療䝁䄰䅣桂䝁䄴入杁䕁䅷兡瑂䝁䅫䅤求䝁䅑䅁佁允䅁材䅁䙁䅑杣桂䝁䅑兡あ䝁䅫睢畂䝁䅅䅢杁䕁䅫杢㉂䝁䅕督あ䝁䄰党畂䡁䅑䅉乂䝁䅅杢桂䝁䅣党祂䅁䅁睉䅅䑁䵷䅁䥂䝁䅅兢瑂䝁䄸杢歂䍁䅁兔桂䝁䄴兤浂䝁䅅睙あ䡁䅕杣灂䝁䄴睚杁䕁䅍睢瑂䡁䅁兙畂䡁䅫䅉䵂䝁䅫兢灂䡁䅑党歂䍁䅷䅉あ䝁䄸睚求䡁䅑䅡求䡁䅉䅉㍂䝁䅫䅤潂䍁䅁兡あ䡁䅍䅉穂䡁䅕杙穂䝁䅫䅚灂䝁䅅杣灂䝁䅕督獁䍁䅁䅚求䡁䅍兡湂䝁䄴督獁䍁䅁兢桂䝁䄴兤浂䝁䅅睙あ䡁䅕杣求䡁䅍䅌杁䝁䅅杢歂䍁䅁督求䝁䅷䅢穂䍁䅁党獂䝁䅕睙あ䡁䅉兡橂䝁䅅䅢杁䝁䅅杢歂䍁䅁党獂䝁䅕睙あ䡁䅉睢畂䝁䅫睙杁䝁䅍睢瑂䡁䅁睢畂䝁䅕杢あ䡁䅍䅉灂䝁䄴䅉䑂䝁䅅杢桂䝁䅑兙獁䍁䅁䅤潂䝁䅕䅉噂䝁䄴兡あ䝁䅕䅚杁䙁䅍䅤桂䡁䅑党穂䍁䅷䅉桂䝁䄴䅚杁䝁䅫杢あ䝁䅕杣畂䝁䅅䅤灂䝁䄸杢桂䝁䅷䅢㕂䍁䄴䅉啂䝁䅧党杁䝁䅍睢瑂䡁䅁兙畂䡁䅫䅉療䝁䅙杚求䡁䅉督杁䝁䅕䅢求䝁䅍䅤祂䝁䅫睙桂䝁䅷䅉求䝁䄴睙獂䝁䄸督ㅂ䡁䅉党穂䍁䅷䅉灂䝁䄴睙獂䡁䅕䅚灂䝁䄴睚杁䝁䄰兡獂䝁䅑䅉桂䝁䄴䅚杁䡁䅍䅤桂䝁䅫杢獂䝁䅕督穂䍁䅁督あ䝁䅕党獂䍁䅷䅉桂䝁䅷兤瑂䝁䅫杢ㅂ䝁䄰䅌杁䝁䄴睢畂䍁䄰兢求䡁䅑兙獂䝁䅷兡橂䍁䅷䅉歂䝁䅫督橂䝁䄸杢畂䝁䅕睙あ䍁䅷䅉瑂䝁䄸䅚ㅂ䝁䅷兙祂䍁䅁杚祂䝁䅕党穂䡁䅑兙畂䝁䅑兡畂䝁䅣䅌杁䝁䄸䅣求䡁䅉兙あ䝁䄸杣杁䝁䅫杢あ䝁䅕杣浂䝁䅅睙求䍁䅷䅉桂䝁䄴䅚杁䝁䅍睢瑂䝁䄰党祂䝁䅍兡桂䝁䅷䅉求䝁䄴睙獂䝁䄸督ㅂ䡁䅉党穂䑁䅳䅉㍂䝁䅫杣求䡁䅣兙㕂䍁䅁兙畂䝁䅑䅉あ䡁䅉睢ㅂ䝁䅣䅡獁䍁䅁睙獂䝁䅫兢桂䡁䅑党杁䝁䅍睢畂䡁䅑杣療䝁䅷䅌杁䝁䅅杢歂䍁䅁䅚桂䡁䅑兙杁䝁䅍睢瑂䝁䄰兤畂䝁䅫睙桂䡁䅑兡療䝁䄴䅉灂䝁䄴杚祂䝁䅅督あ䡁䅉兤橂䡁䅑兤祂䝁䅕䅉睂䡁䅉睢歂䡁䅕睙あ䡁䅍睏杁䝁䅅杢歂䍁䅁睚求䝁䄴党祂䝁䅅䅢杁䝁䅅睙橂䝁䅕督穂䝁䄸杣灂䝁䅕督畁䍁䅁兓あ䍁䅁兙獂䡁䅍睢杁䡁䅁杣療䡁䅙兡歂䝁䅕督杁䡁䅍兢桂䝁䅷䅢杁䝁䅕杢橂䝁䅷睢穂䡁䅕杣求䡁䅍䅌杁䡁䅍兤橂䝁䅧䅉桂䡁䅍䅉歂䝁䅫党橂䝁䅅督あ䍁䅷䅉睂䝁䅷兙穂䡁䅑兡橂䍁䅷䅉求䡁䅧䅤祂䡁䅕䅚求䝁䅑䅌杁䡁䅉兙橂䝁䅳䅉瑂䝁䄸兤畂䡁䅑党歂䍁䅷䅉桂䝁䄴䅚杁䝁䅫杢歂䡁䅕督あ䡁䅉兡桂䝁䅷䅉求䝁䄴睙獂䝁䄸督ㅂ䡁䅉党穂䑁䅳䅉桂䝁䄴䅚杁䝁䅣党畂䝁䅕杣桂䝁䅷兌睂䡁䅕杣睂䝁䄸督求䍁䅁兢求䡁䅑兙獂䍁䅁兙畂䝁䅑䅉歂䝁䅕杤求䝁䅷睢睂䝁䄰党畂䡁䅑䅉楂䝁䄸兙祂䝁䅑䅉睂䡁䅉睢歂䡁䅕睙あ䡁䅍䅌杁䝁䅍䅡桂䡁䅍督灂䡁䅍䅌杁䝁䅅杢歂䍁䅁䅡桂䝁䄴䅚獂䝁䅕督杁䝁䅅杢歂䍁䅁兙橂䝁䅍党穂䡁䅍睢祂䝁䅫党穂䍁䄴䅉䩂䝁䄴䅉桂䝁䅑䅚灂䡁䅑兡療䝁䄴䅌杁䡁䅑䅡求䍁䅁睙療䝁䄰䅣桂䝁䄴入杁䝁䄸杚浂䝁䅕杣穂䍁䅁杣桂䝁䅍睡杁䝁䄰睢ㅂ䝁䄴䅤灂䝁䄴睚杁䡁䅍睢獂䡁䅕䅤灂䝁䄸杢穂䍁䅷䅉穂䡁䅕睙潂䍁䅁兙穂䍁䅁睢睂䝁䅕杢杁䝁䅙杣桂䝁䄰党杁䝁䄴党あ䡁䅣睢祂䝁䅳䅉祂䝁䅅睙牂䡁䅍䅌杁䡁䅍党祂䡁䅙党祂䍁䅁杣桂䝁䅍睡穂䍁䅁兙畂䝁䅑䅉橂䝁䅅杙灂䝁䄴党あ䡁䅍䅌杁䡁䅣兙獂䝁䅷䅉瑂䝁䄸兤畂䡁䅑䅉祂䝁䅅睙牂䡁䅍䅉桂䝁䄴䅚杁䝁䅍兙楂䝁䅫杢求䡁䅑督獁䍁䅁兙畂䝁䅑䅉祂䝁䅅睙牂䍁䅁兙橂䝁䅍党穂䡁䅍睢祂䝁䅫党穂䑁䅳䅉祂䝁䅅睙牂䍁䅁兢療䡁䅕杢あ䡁䅍䅌杁䡁䅙党祂䡁䅑兡橂䝁䅅䅢杁䝁䅉兙穂䝁䅫睙杁䙁䅁䅒噂䡁䅍䅌杁䝁䅫杢歂䡁䅕督あ䡁䅉兡桂䝁䅷䅉穂䡁䅑杣灂䡁䅁督獁䍁䅁兙畂䝁䅑䅉桂䝁䅍睙求䡁䅍督療䡁䅉兡求䡁䅍睏杁䝁䅅杢歂䍁䅁䅣療䡁䅣党祂䍁䅷䅉獂䝁䅫杢求䍁䅷䅉桂䡁䅕䅚灂䝁䄸䅌杁䝁䅕杢求䡁䅉睚㕂䍁䅁䅢灂䝁䄰兡あ䝁䅫杢湂䍁䅷䅉灂䝁䄴督あ䡁䅉兤瑂䝁䅕杢あ䍁䅷䅉湂䡁䅕兡あ䝁䅅杣杁䡁䅉党睂䝁䅷兙橂䝁䅕兢求䝁䄴䅤獁䍁䅁兙畂䝁䅑䅉橂䝁䅷兙穂䡁䅍兡橂䍁䅁䅤祂䝁䅅杢穂䝁䅙睢祂䝁䄰党祂䡁䅍䅌杁䝁䅅督杁䡁䅣党獂䝁䅷䅉桂䡁䅍䅉橂䝁䅧睢牂䝁䅕督杁䝁䅅杢歂䍁䅁杣求䝁䅅睙あ䝁䄸杣穂䍁䄴䅉䝂䡁䅕杣あ䝁䅧党祂䍁䅷䅉灂䡁䅑䅉睂䡁䅉睢㉂䝁䅫䅚求䡁䅍䅉橂䝁䅷兙穂䡁䅍兡橂䍁䅁䅤祂䝁䅅杢穂䝁䅙睢祂䝁䄰党祂䡁䅍䅌杁䝁䅧兡湂䝁䅧䅉㉂䝁䄸䅢あ䝁䅅睚求䍁䅁杚療䡁䅉䅉湂䝁䅕杢求䡁䅉兙獂䍁䅁兙瑂䡁䅁䅉ㅂ䡁䅍党獁䍁䅁䅢療䡁䅣䅉㉂䝁䄸䅢あ䝁䅅睚求䍁䅁杚灂䝁䅷兙瑂䝁䅕杢あ䍁䅷䅉あ䡁䅕杙求䍁䅁兙ㅂ䝁䅑兡療䍁䅁睢ㅂ䡁䅑䅣ㅂ䡁䅑督獁䍁䅁兢療䝁䅑兤獂䝁䅅䅤灂䝁䄸杢穂䍁䅷䅉あ䡁䅕杙求䍁䅁䅚祂䝁䅫杤求䡁䅉督癁䝁䅫杢あ䝁䅕杣穂䡁䅑兙湂䝁䅕䅌杁䝁䅍䅡療䝁䅳党穂䍁䅷䅉桂䝁䄴䅚杁䝁䄰兡穂䝁䅍党獂䝁䅷兙畂䝁䅕睢ㅂ䡁䅍䅉睂䡁䅉睢歂䡁䅕睙あ䡁䅍䅌杁䝁䅅督杁䡁䅣党獂䝁䅷䅉桂䡁䅍䅉あ䝁䅕睙潂䝁䄴兡橂䝁䅅䅢杁䡁䅍兤睂䡁䅁睢祂䡁䅑䅉穂䝁䅕杣㉂䝁䅫睙求䡁䅍杌杁䙁䅑䅡求䍁䅁睙療䝁䄰䅣桂䝁䄴入杁䡁䅍党祂䡁䅙党穂䍁䅁党獂䝁䅕睙あ䡁䅉兡橂䝁䅅䅢杁䝁䅅杢歂䍁䅁党獂䝁䅕睙あ䡁䅉睢畂䝁䅫睙杁䝁䄰兙畂䡁䅕杚桂䝁䅍䅤ㅂ䡁䅉党祂䡁䅍䅌杁䡁䅕䅤灂䝁䅷兡あ䝁䅫党穂䍁䅷䅉桂䝁䄴䅚杁䝁䅫杢穂䡁䅑兡あ䡁䅕䅤灂䝁䄸杢穂䍁䅁䅤潂䡁䅉睢ㅂ䝁䅣䅡杁䝁䄸杣灂䝁䅣兡畂䝁䅅䅢杁䝁䅕兣ㅂ䝁䅫䅣瑂䝁䅕杢あ䍁䅁兢桂䝁䄴兤浂䝁䅅睙あ䡁䅕杣求䡁䅉督杁䝁䅅杢歂䍁䅁兙杁䝁䄴党あ䡁䅣睢祂䝁䅳䅉療䝁䅙䅉桂䝁䅣党畂䡁䅑督杁䝁䅅杢歂䍁䅁䅚灂䡁䅍䅤祂䝁䅫杙ㅂ䡁䅑睢祂䡁䅍杌杁䕁䅧兙瑂䝁䄰睢畂䝁䅑䅉乂䝁䅅杢ㅂ䝁䅙兙橂䡁䅑兤祂䝁䅫杢湂䍁䅁睑療䝁䄰䅣桂䝁䄴入杁䕁䅷兡瑂䝁䅫䅤求䝁䅑䅉㍂䝁䅅督杁䝁䅙睢ㅂ䝁䄴䅚求䝁䅑䅉灂䝁䄴䅉硁䑁䅫免㉁䍁䅁兙畂䝁䅑䅉灂䡁䅍䅉潂䝁䅕兙歂䡁䅅兤桂䡁䅉䅤求䡁䅉党歂䍁䅁兡畂䍁䅁睒ㅂ䝁䅕䅢睂䝁䅧䅌杁䕁䅍兙畂䝁䅅䅚桂䍁䄴䅁䱁允䅁杏䅁䕁䅧兙瑂䝁䄰睢畂䝁䅑䅉兂䝁䄸睤求䡁䅉䅉呂䝁䄸䅢ㅂ䡁䅑兡療䝁䄴督杁䕁䅫杢橂䍁䄴䅁偁允䅁杅䅁䕁䅷睕䙂䑁䅯兓䍂䙁䅍䅖䅁䭁䅧䅁坁䅁䅁兓剂䑁䅫䅏㕁䑁䅅䅎ぁ䑁䅣杍䅁䝁䉅䅁畃杂䅁䅓桂䝁䄰兢療䝁䄴䅚杁䙁䅁睢㍂䝁䅕杣杁䙁䅍睢獂䡁䅕䅤灂䝁䄸杢穂䍁䅁兓畂䝁䅍杌獁䍁䅁䅤療䝁䅣党あ䝁䅧党祂䍁䅁睤灂䡁䅑䅡杁䝁䅫䅤穂䍁䅁督ㅂ䝁䅉督灂䝁䅑兡桂䡁䅉兡求䡁䅍䅌杁䝁䅕杢湂䝁䅅睚求䡁䅍䅉灂䝁䄴䅉あ䝁䅧党杁䝁䅑党穂䝁䅫睚畂䍁䅷䅉瑂䝁䅅杢ㅂ䝁䅙兙橂䡁䅑兤祂䝁䅕䅌杁䝁䅅杢歂䍁䅁督桂䝁䅷党杁䝁䄸杚杁䡁䅙兙祂䝁䅫睢ㅂ䡁䅍䅉あ䡁䅉兙畂䡁䅍杚療䡁䅉兢求䡁䅉督杁䝁䅫杢杁䕁䅍兙畂䝁䅅䅚桂䍁䅷䅉あ䝁䅧党杁䙁䅕杢灂䡁䅑党歂䍁䅁睕あ䝁䅅䅤求䡁䅍䅌杁䕁䄰党㑂䝁䅫睙療䍁䅷䅉桂䝁䄴䅚杁䕁䅫杢歂䝁䅫兙畁䍁䅁兓あ䍁䅁睢浂䝁䅙党祂䡁䅍䅉橂䡁䅕督あ䝁䄸兢杁䝁䅕䅢求䝁䅍䅤祂䝁䅫睙桂䝁䅷䅉瑂䝁䅅睚畂䝁䅕䅤灂䝁䅍督獁䍁䅁睙桂䡁䅍䅤杁䡁䅉党穂䝁䅫杢獁䍁䅁睙ㅂ䡁䅍䅤療䝁䄰䅉獂䝁䅫兣ㅂ䝁䅫䅚杁䝁䅙兡獂䝁䅷党歂䍁䅁䅚灂䡁䅍䅤祂䝁䅫杙ㅂ䡁䅑兡療䝁䄴䅉桂䝁䄴䅚杁䡁䅁睢㍂䝁䅕杣杁䡁䅑杣桂䝁䄴督浂䝁䄸杣瑂䝁䅕杣穂䍁䅷䅉桂䝁䄴䅚杁䡁䅍䅤桂䝁䄴䅚桂䡁䅉䅚杁䝁䅕䅢求䝁䅍䅤祂䝁䅫睙桂䝁䅷䅉あ䡁䅉兙畂䡁䅍杚療䡁䅉兢求䡁䅉督杁䡁䅑睢杁䡁䅑䅡求䍁䅁党獂䝁䅕睙あ䡁䅉兡橂䝁䅅䅢杁䝁䅅杢歂䍁䅁党獂䝁䅕睙あ䡁䅉睢畂䝁䅫睙杁䝁䅫杢歂䡁䅕督あ䡁䅉兡求䡁䅍杌杁䙁䅑䅡求䍁䅁睙療䝁䄰䅣桂䝁䄴入杁䝁䅅䅢穂䝁䄸䅉睂䡁䅉睢㉂䝁䅫䅚求䡁䅍䅉楂䡁䅕睙牂䍁䄰杙療䝁䄸督あ䍁䅷䅉橂䝁䄸杢あ䡁䅉睢獂䍁䅷䅉歂䝁䅫督あ䡁䅉兡楂䡁䅕䅤灂䝁䄸杢獁䍁䅁䅚祂䝁䅫杤求䍁䅁兡穂䝁䄸䅢桂䡁䅑兡療䝁䄴䅌杁䝁䅕杢橂䝁䅅䅣穂䡁䅕䅢桂䡁䅑党歂䍁䅷䅉浂䡁䅕杣畂䝁䅅睙求䍁䅷䅉瑂䡁䅕䅢あ䝁䅫兌睂䡁䅕䅢穂䝁䅕䅌杁䡁䅁兙歂䍁䅁兢療䡁䅕杢あ䝁䅕䅚獁䍁䅁杣求䝁䅣兤獂䝁䅅䅤灂䝁䄴睚獁䍁䅁兙畂䝁䅑䅉瑂䝁䅕䅚灂䡁䅕兢杁䡁䅙睢獂䡁䅑兙湂䝁䅕䅉歂䝁䅫督あ䡁䅉兡楂䡁䅕䅤灂䝁䄸杢杁䡁䅑杣桂䝁䄴督浂䝁䄸杣瑂䝁䅕杣穂䍁䅷䅉桂䡁䅍䅉㍂䝁䅕䅢獂䍁䅁兙穂䍁䅁杣求䝁䅅睙あ䝁䄸杣穂䍁䅷䅉桂䝁䅍䅤灂䡁䅙党杁䝁䅧兙祂䝁䄰睢畂䝁䅫睙杁䝁䅙兡獂䡁䅑党祂䡁䅍䅌杁䝁䅑杖癁䝁䅑䅖杁䝁䅙兡獂䡁䅑党祂䡁䅍䅌杁䝁䅅杢歂䍁䅁兤畂䝁䅫䅤灂䡁䅯党歂䍁䅁督ㅂ䝁䅉督あ䝁䅅䅤灂䝁䄸杢穂䍁䄴䅉䩂䡁䅑䅉穂䝁䅕杣㉂䝁䅕督杁䡁䅉党畂䝁䅕睤桂䝁䅉䅢求䍁䅁党畂䝁䅕杣湂䡁䅫䅌杁䝁䅑杣灂䡁䅙党杁䝁䅅杢歂䍁䅁兙ㅂ䡁䅑睢瑂䝁䅅䅤灂䝁䄸杢獁䍁䅁党畂䝁䅕杣湂䡁䅫䅉歂䝁䅫督あ䡁䅉兡楂䡁䅕䅤灂䝁䄸杢獁䍁䅁兡畂䝁䅙杣桂䡁䅍䅤祂䡁䅕睙あ䡁䅕杣求䍁䅷䅉灂䡁䅉杣灂䝁䅣兙あ䝁䅫睢畂䍁䅷䅉桂䝁䄴䅚杁䝁䅫杢歂䡁䅕督あ䡁䅉兡桂䝁䅷䅉瑂䝁䅅杣牂䝁䅕䅤穂䍁䄴䅉䥂䝁䅅兢瑂䝁䄸杢歂䍁䅁䅕療䡁䅣党祂䍁䅁睕療䝁䅷兤あ䝁䅫睢畂䡁䅍䅉䩂䝁䄴睙畁䍁䅁睤桂䡁䅍䅉浂䝁䄸兤畂䝁䅑党歂䍁䅁兡畂䍁䅁免㕁䑁䅅睎杁䝁䅅杢歂䍁䅁兡穂䍁䅁䅡求䝁䅅䅚硂䡁䅕兙祂䡁䅑党祂䝁䅕䅚杁䝁䅫杢杁䕁䅣兤求䝁䅷䅣潂䍁䅷䅉䑂䝁䅅杢桂䝁䅑兙畁䅁䅁䅄䅅䍁䅙䅁䥂䝁䅕䅚湂䝁䅕䅉䝂䡁䅕杢歂䍁䅁兔桂䝁䄴兙湂䝁䅕杣䅁䑁䉙䅁十䅁䅁杔婂䙁䅍兒㙁䕁䅣杒䝂䅁䅁杇䅁䉁䅙䅁䩂䙁䅅免睁䑁䅅免ㅁ䑁䅁䅍㑁䅁䅁睍䅅䉁䅙䅁䩂䙁䅅免睁䑁䅅免ㅁ䑁䅁免穁䅁䅁䅨䅅䉁䅧䅁塂䝁䅫杢睂䝁䅅睡杁䕁䅷䅤歂䍁䄴䅁浄䅁䅁杆䅁䕁䅫兕硁䑁䅁免硁䑁䅕䅍硁䑁䅕䅁浂允䅁䅆䅁䙁䅑睕奂䑁䅯村䍂䕁䅑杌䍂䅁䅁䅅䅅䑁偙䅁乂䡁䅕党獂䝁䅷党祂䍁䅁睖桂䡁䅑党祂䍁䅁䅕祂䝁䄸䅚ㅂ䝁䅍䅤穂䍁䅷䅉䩂䝁䄴睙畁䍁䅁兢桂䝁䄴兤浂䝁䅅睙あ䡁䅕杣求䡁䅍䅉桂䝁䄴䅚杁䝁䄰兙祂䝁䅳党あ䡁䅍䅉睂䡁䅉睢歂䡁䅕睙あ䡁䅍䅉桂䝁䄴䅚杁䡁䅍党祂䡁䅙兡橂䝁䅕督杁䝁䅙睢祂䍁䅁䅤潂䝁䅕䅉あ䡁䅉兙畂䡁䅍兢灂䡁䅍督灂䝁䄸杢獁䍁䅁䅚灂䡁䅍䅤祂䝁䅫杙ㅂ䡁䅑兡療䝁䄴䅌杁䝁䅅杢歂䍁䅁兢求䝁䅅督ㅂ䡁䅉党瑂䝁䅕杢あ䍁䅁睢浂䍁䅁睤桂䡁䅑党祂䍁䅁兤穂䝁䅕䅚杁䝁䅉入杁䝁䄰兤畂䝁䅫睙灂䡁䅁兙獂䝁䅫䅤灂䝁䅕督獁䍁䅁兙畂䝁䅑䅉あ䝁䅧党杁䡁䅉党穂䝁䅫䅚求䝁䄴䅤灂䝁䅅䅢杁䝁䅅杢歂䍁䅁杢療䝁䄴兌祂䝁䅕督灂䝁䅑党畂䡁䅑兡桂䝁䅷䅉橂䝁䄸杢穂䡁䅑杣ㅂ䝁䅍䅤灂䝁䄸杢杁䝁䅫杢歂䡁䅕督あ䡁䅉兡求䡁䅍䅉灂䝁䄴䅉あ䝁䅧党杁䙁䅕杢灂䡁䅑党歂䍁䅁睕あ䝁䅅䅤求䡁䅍䅌杁䕁䅫督祂䝁䅅党獂䍁䅷䅉桂䝁䄴䅚杁䝁䅫杢あ䝁䅕杣畂䝁䅅䅤灂䝁䄸杢桂䝁䅷䅢㕂䍁䄴䅉䩂䡁䅑䅉療䡁䅁党祂䝁䅅䅤求䡁䅍䅉灂䝁䄴䅉あ䡁䅣睢杁䡁䅍党湂䝁䄰党畂䡁䅑督獁䍁䅁睖桂䡁䅑党祂䍁䅁杒獂䝁䄸睤杁䙁䅍睢獂䡁䅕䅤灂䝁䄸杢穂䍁䅁兙畂䝁䅑䅉塂䝁䅅䅤求䡁䅉䅉乂䝁䅅杢桂䝁䅣党瑂䝁䅕杢あ䍁䅁睕療䝁䅷兤あ䝁䅫睢畂䡁䅍杌杁䙁䅑䅡求䍁䅁睖桂䡁䅑党祂䍁䅁杒獂䝁䄸睤杁䙁䅍睢獂䡁䅕䅤灂䝁䄸杢穂䍁䅁督求䝁䅣兢求䝁䄴䅤杁䡁䅁杣療䡁䅙兡歂䝁䅕督杁䡁䅙兙獂䡁䅙党穂䍁䅁杚療䡁䅉䅉㍂䝁䅅䅤求䡁䅉䅉穂䡁䅫督あ䝁䅕兢穂䍁䅷䅉穂䡁䅕睙潂䍁䅁兙穂䍁䅁兡祂䝁䄸杢杁䝁䅣兙あ䝁䅕䅌杁䝁䅉兤あ䡁䅑党祂䝁䅙䅢㕂䍁䅷䅉あ䝁䅅䅣睂䝁䅫杢湂䍁䅷䅉橂䝁䅧党橂䝁䅳䅌杁䝁䅳杢灂䝁䅙党獁䍁䅁䅣獂䡁䅕睚獁䍁䅁兙畂䝁䅑䅉楂䝁䅅䅢獂䍁䅁杤桂䝁䅷杤求䡁䅍䅌杁䡁䅣䅡灂䝁䅍䅡杁䝁䅅杣求䍁䅁兤穂䝁䅕䅚杁䡁䅑睢杁䝁䅍睢畂䡁䅑杣療䝁䅷䅉歂䝁䅫督あ䡁䅉兡楂䡁䅕䅤灂䝁䄸杢杁䝁䅅杢歂䍁䅁䅤祂䝁䅅杢穂䝁䄰兡穂䡁䅍兡療䝁䄴䅉療䝁䅙䅉睂䝁䄸䅤桂䝁䅉䅢求䍁䅁睤桂䡁䅑党祂䍁䅁兙畂䝁䅑䅉畂䝁䄸杢瑁䡁䅁睢あ䝁䅅杙獂䝁䅕䅉㍂䝁䅅䅤求䡁䅉䅌杁䝁䅅督杁䡁䅣党獂䝁䅷䅉桂䡁䅍䅉灂䝁䄴䅉㍂䝁䅅䅤求䡁䅉䅉あ䡁䅉兙畂䡁䅍兢灂䡁䅍督灂䝁䄸杢杁䝁䄸杣杁䝁䅑兡穂䡁䅑杣灂䝁䅉兤あ䝁䅫睢畂䍁䅷䅉㍂䝁䅅䅤求䡁䅉䅉あ䡁䅉党桂䡁䅑兢求䝁䄴䅤杁䝁䅙兙橂䝁䅫䅢灂䡁䅑兡求䡁䅍䅌杁䝁䄸杣杁䝁䅫杢歂䡁䅕督あ䡁䅉兡桂䝁䅷䅉桂䡁䅁䅣獂䝁䅫睙桂䡁䅑兡療䝁䄴督畁䍁䅁兓あ䍁䅁兙獂䡁䅍睢杁䝁䄸杚浂䝁䅕杣穂䍁䅁督求䡁䅉杤灂䝁䅍党杁䝁䅉杣桂䡁䅍督杁䡁䅁杣療䝁䅑兤橂䡁䅑督畁䍁䅁䅖潂䝁䅕䅉塂䝁䅅䅤求䡁䅉䅉乂䝁䅅杢桂䝁䅣党瑂䝁䅕杢あ䍁䅁睕療䝁䅷兤あ䝁䅫睢畂䡁䅍䅉穂䝁䅕睚瑂䝁䅕杢あ䍁䅁睢浂䝁䅙党祂䡁䅍䅉歂䡁䅉入瑁䝁䅉兙祂䡁䅉党獂䍁䅁兙畂䝁䅑䅉㍂䝁䅕䅤瑁䝁䅉兙祂䡁䅉党獂䍁䅁杚灂䡁䅉党杁䝁䅧入歂䡁䅉兙畂䡁䅑督杁䝁䅙睢祂䍁䅁睤桂䡁䅑党祂䍁䅁兡畂䝁䅙杣桂䡁䅍䅤祂䡁䅕睙あ䡁䅕杣求䍁䅁䅚求䡁䅙党獂䝁䄸䅣瑂䝁䅕杢あ䑁䅳䅉浂䝁䅫杣求䍁䅁䅣祂䝁䄸䅤求䝁䅍䅤灂䝁䄸杢杁䡁䅍入穂䡁䅑党瑂䡁䅍䅌杁䝁䅅杢歂䍁䅁睤桂䡁䅑党祂䍁䅁兡畂䝁䅙杣桂䡁䅍䅤祂䡁䅕睙あ䡁䅕杣求䍁䅁杣求䡁䅁兙灂䡁䅉䅉桂䝁䄴䅚杁䡁䅉党睂䝁䅷兙橂䝁䅕兢求䝁䄴䅤杁䡁䅁杣療䝁䅯党橂䡁䅑督㝁䍁䅁䅣灂䡁䅁党杁䡁䅉党睂䝁䅅兡祂䍁䅁䅣祂䝁䄸䅚ㅂ䝁䅍䅤穂䍁䅷䅉穂䡁䅕睙潂䍁䅁兙穂䍁䅁睙療䡁䅕䅣獂䝁䅫杢湂䡁䅍䅌杁䝁䅣杣灂䡁䅁督獁䍁䅁兙畂䝁䅑䅉橂䝁䅷兙瑂䡁䅁督杁䡁䅕督求䝁䅑䅉あ䝁䄸䅉祂䝁䅕䅣桂䝁䅫杣杁䝁䅷党桂䝁䅳督㝁䍁䅁杣求䡁䅍兡歂䝁䅕杢あ䝁䅫兙獂䍁䅷䅉浂䝁䅫杣求䍁䅁䅢灂䝁䄴党獁䍁䅁兙畂䝁䅑䅉橂䝁䄸兢瑂䝁䅕杣橂䝁䅫兙獂䍁䅁睤桂䡁䅑党祂䍁䅁兢求䡁䅑党祂䝁䅫杢湂䍁䅁䅣祂䝁䄸䅚ㅂ䝁䅍䅤穂䍁䅷䅉穂䡁䅫督あ䝁䅕兢穂䍁䅷䅉桂䝁䄴䅚杁䡁䅍党祂䡁䅙兡橂䝁䅕督㝁䍁䅁睤桂䡁䅑党祂䍁䅁䅢求䝁䅅睡杁䝁䅑党あ䝁䅕睙あ䝁䅫睢畂䍁䅁兙畂䝁䅑䅉睂䝁䅫䅣求䍁䅁睙療䝁䄴䅚灂䡁䅑兡療䝁䄴䅉桂䡁䅍督求䡁䅍督瑂䝁䅕杢あ䍁䅁䅣祂䝁䄸䅚ㅂ䝁䅍䅤穂䍁䅁兙畂䝁䅑䅉穂䝁䅕杣㉂䝁䅫睙求䡁䅍睏杁䝁䄰兙橂䝁䅧兡畂䝁䅕督杁䝁䅅杢歂䍁䅁䅤療䝁䄸䅢穂䍁䅁杚療䡁䅉䅉あ䝁䅅䅣睂䝁䅫杢湂䍁䅷䅉歂䡁䅉兡獂䝁䅷兡畂䝁䅣䅌杁䝁䅕䅥あ䡁䅉兙橂䡁䅑兡畂䝁䅣䅌杁䝁䅫杢穂䡁䅑兙獂䝁䅷兡畂䝁䅣䅌杁䝁䅅杢歂䍁䅁督あ䝁䄸䅣睂䝁䅫杢湂䍁䄰睢浂䝁䅙睏杁䝁䅣兙穂䍁䅁杤桂䝁䅷杤求䍁䅁䅣祂䝁䄸䅚ㅂ䝁䅍䅤穂䍁䅁杚療䡁䅉䅉ㅂ䡁䅍党杁䝁䅫杢杁䝁䅣兙穂䍁䅁䅚灂䡁䅍䅤祂䝁䅫杙ㅂ䡁䅑兡療䝁䄴䅉穂䡁䅫督あ䝁䅕兢穂䑁䅳䅉桂䝁䄴䅚杁䝁䅫杢あ䝁䅕䅢獂䝁䅫睚求䝁䄴䅤杁䡁䅣兙あ䝁䅕杣杁䡁䅍睢獂䡁䅕䅤灂䝁䄸杢穂䍁䅷䅉灂䝁䄴睙獂䡁䅕䅚灂䝁䄴睚杁䡁䅁杣求䡁䅍督ㅂ䡁䅉党杁䝁䅍睢畂䡁䅑杣療䝁䅷䅉㉂䝁䅅䅢㉂䝁䅕督獁䍁䅁兙歂䡁䅙兙畂䝁䅍党歂䍁䅁䅣祂䝁䅕督穂䡁䅕杣求䍁䅁兢桂䝁䄴兙湂䝁䅕兢求䝁䄴䅤獁䍁䅁杢求䡁䅑睤療䡁䅉睡杁䝁䅅杢桂䝁䅷入あ䝁䅫睙穂䍁䅷䅉求䡁䅙党畂䡁䅑䅉瑂䝁䅅杢桂䝁䅣党瑂䝁䅕杢あ䍁䅷䅉桂䝁䄴䅚杁䝁䅑兙あ䝁䅕䅉獂䝁䄸睚湂䝁䅫杢湂䍁䄴䅉䩂䡁䅑䅉穂䝁䅕䅢獂䡁䅍䅉灂䡁䅑督杁䡁䅁杣療䝁䅑兤橂䡁䅑督杁䡁䅕杢歂䝁䅕杣杁䡁䅑䅡求䍁䅁睑桂䝁䄴兙歂䝁䅅䅉坂䝁䅅䅢㉂䝁䅕䅌杁䕁䅍党畂䡁䅑兤祂䝁䅫睢畂䍁䅷䅉䙂䡁䅯兌乂䝁䅅䅥獁䍁䅁䅓㕂䝁䅑杣療䍁䅁睒桂䡁䅑党獁䍁䅁䅓㕂䝁䅑杣療䍁䄰睒ㅂ䝁䅅杣歂䍁䅷䅉䥂䙁䅫兔䉂䙁䅧䅌杁䕁䅧兗乂䕁䅅䅗杁䙁䅙兒卂䙁䅍兑獁䍁䅁杓療䝁䄴党穂䍁䅷䅉䱂䡁䅉兙ㅂ䡁䅍来獁䍁䅁兔灂䝁䅷䅢灂䝁䅳党畂䍁䅷䅉乂䡁䅕党獂䝁䅷党祂䍁䅷䅉兂䡁䅉兙あ䡁䅑䅌杁䙁䅁杣桂䡁䅑䅤杁䕁䅫杢歂䡁䅕督あ䡁䅉兡桂䝁䅷䅌杁䙁䅉党睂䝁䅅兢桂䡁䅧䅌杁䙁䅉党睂䝁䅅杚獂䝁䅕䅥獁䍁䅁睕灂䝁䄴睚求䡁䅉䅌杁䕁䅕睙潂䝁䄸䅢療䝁䅣兡橂䡁䅍䅌杁䕁䅕睙潂䝁䄸督潂䝁䄸杣求䍁䅷䅉求䙁䅁兤獂䡁䅍党獁䍁䅁䅓求䡁䅉督求䡁䅫䅌杁䕁䅷党桂䝁䅳杒灂䝁䄴䅚求䡁䅉杕啂䍁䅷䅉䵂䝁䅕兙牂䕁䅙兡畂䝁䅑党祂䙁䅍䅖獁䍁䅁䅔求䝁䅅睡䵂䝁䅫督あ䝁䅕杢求䡁䅉䅌杁䕁䅷党桂䝁䅳䅖ㅂ䝁䄴党祂䍁䅷䅉乂䝁䅫杌䙂䝁䅍䅡療䍁䅷䅉乂䝁䅫杌佂䝁䅕䅤獁䍁䅁兔ㅂ䝁䅕䅢獂䝁䅕杣杁䙁䅍入穂䡁䅑党瑂䡁䅍䅌杁䙁䅍党畂䡁䅑杣㕂䡁䅧䅌杁䝁䅅杢歂䍁䅁兖畁䙁䅍杌杁䙁䅁兡睂䝁䅕䅉坂䝁䅅䅢㉂䝁䅕䅉桂䝁䄴䅚杁䕁䅧入歂䡁䅉兙畂䡁䅑䅉楂䡁䅉兙畂䝁䅑督畁䍁䅁兔ㅂ䝁䅕䅢獂䝁䅕杣杁䙁䅣兙あ䝁䅕杣杁䙁䅁杣療䝁䅑兤橂䡁䅑督獁䍁䅁兓畂䝁䅍杌杁䡁䅣兙穂䍁䅁杚療䡁䅕杢歂䝁䅕䅚杁䝁䅫杢杁䑁䅅䅏ㅁ䑁䅣䅉桂䝁䄴䅚杁䝁䅫督杁䝁䅧党桂䝁䅑兣ㅂ䝁䅅杣あ䝁䅕杣求䝁䅑䅉灂䝁䄴䅉䉂䡁䅑䅢桂䝁䄴䅤桂䍁䅷䅉䡂䝁䅕睢祂䝁䅣兡桂䍁䄴䅁㍃䅁䅁杆䅁䕁䅫兕硁䑁䅁免㉁䑁䅍李ぁ䑁䅉䅁求允䅁杶䅯䙁䅍䅤桂䝁䄴䅤求䝁䅍䅉䩂䝁䄴睙畁䍁䅁䅣祂䝁䄸杤灂䝁䅑党穂䍁䅁䅣祂䝁䄸杚求䡁䅍督灂䝁䄸杢桂䝁䅷䅉穂䝁䅕杣㉂䝁䅫睙求䡁䅍䅉灂䝁䄴䅉あ䝁䅧党杁䝁䅅杣求䝁䅅督杁䝁䄸杚杁䝁䅫杢浂䡁䅉兙穂䡁䅑杣ㅂ䝁䅍䅤ㅂ䡁䅉党杁䝁䅅杢歂䍁䅁杚桂䝁䅍兡獂䝁䅫䅤灂䝁䅕督杁䡁䅑睢杁䡁䅑䅡求䍁䅁䅣ㅂ䝁䅉䅢灂䝁䅍䅉桂䝁䄴䅚杁䡁䅁杣灂䡁䅙兙あ䝁䅕䅉穂䝁䅕睙あ䝁䄸杣穂䍁䅁兡畂䍁䅁睑桂䝁䄴兙歂䝁䅅䅌杁䡁䅑䅡求䍁䅁兖畂䝁䅫䅤求䝁䅑䅉呂䡁䅑兙あ䝁䅕督獁䍁䅁兙畂䝁䅑䅉灂䝁䄴䅤求䡁䅉杢桂䡁䅑兡療䝁䄴兙獂䝁䅷入畁䍁䅁䅖潂䝁䅕䅉橂䝁䄸兢睂䝁䅅杢㕂䍁䅁睢浂䝁䅙党祂䡁䅍䅉求䡁䅙兙獂䡁䅕兙あ䝁䅫睢畂䍁䅷䅉睂䝁䅷兙畂䝁䄴兡畂䝁䅣䅌杁䝁䅅杢歂䍁䅁䅚求䡁䅍兡湂䝁䄴兡畂䝁䅣䅉灂䝁䄴杚祂䝁䅅督あ䡁䅉兤橂䡁䅑兤祂䝁䅕䅉穂䝁䄸䅢ㅂ䡁䅑兡療䝁䄴督㝁䍁䅁督療䝁䅷兤あ䝁䅫睢畂䡁䅍䅉浂䝁䄸杣杁䡁䅍兤穂䡁䅑兙灂䝁䄴兙楂䝁䅷党杁䡁䅣兙あ䝁䅕杣杁䡁䅉党穂䝁䄸兤祂䝁䅍党穂䍁䅷䅉睂䝁䅷兙畂䝁䄴兡畂䝁䅣䅌杁䝁䄰兙畂䝁䅅睚求䝁䄰党畂䡁䅑䅌杁䝁䅅杢歂䍁䅁兡畂䝁䅙杣桂䡁䅍䅤祂䡁䅕睙あ䡁䅕杣求䑁䅳䅉求䝁䄴杤灂䡁䅉睢畂䝁䄰党畂䡁䅑兙獂䍁䅁督求䡁䅉杤灂䝁䅍党穂䑁䅳䅉灂䝁䄴䅤求䝁䅣杣桂䡁䅑党歂䍁䅁兙祂䝁䅍䅡灂䡁䅑党橂䡁䅑兤祂䝁䅕䅌杁䝁䅕杢湂䝁䅫杢求䝁䅕杣灂䝁䄴睚獁䍁䅁兡畂䡁䅑党祂䝁䅫睢祂䍁䅁䅚求䡁䅍兡湂䝁䄴䅌杁䝁䅅杢歂䍁䅁䅣獂䝁䅅杢畂䝁䅫杢湂䍁䅁督療䝁䅷兤あ䝁䅫睢畂䡁䅍䅉浂䝁䄸杣杁䝁䅉兤灂䝁䅷䅚灂䝁䄴睚穂䑁䅳䅉桂䝁䄴䅚杁䝁䅕杢求䡁䅉睚㕂䍁䅁兙畂䝁䅑䅉祂䝁䅕督療䡁䅕杣橂䝁䅕督杁䡁䅍睢獂䡁䅕䅤灂䝁䄸杢穂䍁䄴䅉䩂䡁䅑䅉桂䝁䅷督療䍁䅁䅣祂䝁䄸杤灂䝁䅑党穂䍁䅁睙療䝁䄴督ㅂ䝁䅷䅤灂䝁䄴睚杁䡁䅍党祂䡁䅙兡橂䝁䅕督杁䝁䅫杢杁䝁䅕杢湂䝁䅫杢求䝁䅕杣灂䝁䄴睚獁䍁䅁兙祂䝁䅍䅡灂䡁䅑党橂䡁䅑兤祂䝁䅕䅌杁䝁䅫杢あ䝁䅕杣灂䝁䄸杣杁䝁䅑党穂䝁䅫睚畂䍁䅷䅉獂䝁䅅杢歂䡁䅍睙桂䡁䅁党杁䝁䅅杣橂䝁䅧兡あ䝁䅕睙あ䡁䅕杣求䍁䅷䅉穂䡁䅕杣㉂䝁䅕入灂䝁䄴睚獁䍁䅁党畂䡁䅙兡祂䝁䄸杢瑂䝁䅕杢あ䝁䅅䅢杁䡁䅍睙灂䝁䅕杢橂䝁䅕督獁䍁䅁䅣祂䝁䄸条求䝁䅍䅤杁䝁䄰兙畂䝁䅅睚求䝁䄰党畂䡁䅑䅌杁䝁䅅杢歂䍁䅁䅣祂䝁䄸条求䝁䅍䅤杁䝁䅕睙療䝁䄴睢瑂䝁䅫睙穂䍁䄴䅉䩂䝁䄴䅉桂䝁䅑䅚灂䡁䅑兡療䝁䄴䅌杁䡁䅑䅡求䍁䅁睙療䝁䄰䅣桂䝁䄴入杁䝁䄸杚浂䝁䅕杣穂䍁䅁䅣獂䝁䅅杢畂䝁䅫杢湂䍁䅁兙畂䝁䅑䅉歂䝁䅕督灂䝁䅣杢杁䡁䅍党祂䡁䅙兡橂䝁䅕督杁䡁䅑睢杁䝁䅍䅢灂䝁䅕杢あ䡁䅍䅉灂䝁䄴䅉祂䝁䅕督灂䝁䅑党畂䡁䅑兡桂䝁䅷䅌杁䝁䅷睢湂䝁䅫督あ䝁䅫睙穂䍁䅷䅉祂䝁䅕䅤桂䝁䅫䅢獁䍁䅁兡畂䝁䅙杣桂䡁䅍䅤祂䡁䅕睙あ䡁䅕杣求䍁䅷䅉求䝁䄴党祂䝁䅣入獁䍁䅁䅡灂䝁䅣䅡求䡁䅉䅉求䝁䅑兤橂䝁䅅䅤灂䝁䄸杢獁䍁䅁兙畂䝁䅑䅉ㅂ䡁䅉杙桂䝁䄴䅉祂䝁䅕睚求䝁䄴党祂䝁䅅䅤灂䝁䄸杢杁䡁䅍党橂䡁䅑睢祂䡁䅍睏杁䝁䅅杣橂䝁䅧兡あ䝁䅕睙あ䡁䅕杣桂䝁䅷䅉桂䝁䄴䅚杁䝁䅫杢あ䝁䅕杣灂䝁䄸杣杁䝁䅑党穂䝁䅫睚畂䍁䅷䅉桂䝁䄴䅚杁䡁䅁䅢桂䝁䄴杢灂䝁䄴睚杁䡁䅍党祂䡁䅙兡橂䝁䅕督杁䝁䅫杢杁䡁䅑䅡求䍁䅁督橂䝁䅫党畂䝁䅍党杁䝁䅅杢歂䍁䅁䅤求䝁䅍䅡畂䝁䄸䅢療䝁䅣入獁䍁䅁睙療䝁䄰兢求䡁䅉睙灂䝁䅅䅢杁䡁䅣睢祂䝁䅳䅣獂䝁䅅睙求䍁䅷䅉潂䝁䅫睚潂䝁䅕杣杁䝁䅕䅚ㅂ䝁䅍兙あ䝁䅫睢畂䍁䅷䅉祂䝁䅕督灂䝁䅑党畂䡁䅑兡桂䝁䅷䅌杁䝁䅅杢歂䍁䅁䅡療䡁䅍䅣灂䡁䅑兙獂䝁䅫䅤㕂䍁䅁兢桂䡁䅉睡求䡁䅑督畁䍁䅁杒ㅂ䡁䅉䅤潂䝁䅕杣獁䍁䅁䅤潂䝁䅕䅉橂䝁䄸兢睂䝁䅅杢㕂䍁䅁兡畂䡁䅙睢獂䡁䅙党歂䍁䅁兡畂䍁䅁䅤潂䝁䅕䅉睂䝁䅷兙畂䝁䄴兡畂䝁䅣䅌杁䝁䅑党穂䝁䅫睚畂䍁䅷䅉橂䝁䄸杢穂䡁䅑杣ㅂ䝁䅍䅤灂䝁䄸杢杁䝁䅅䅚瑂䝁䅫杢灂䡁䅍䅤祂䝁䅅䅤灂䝁䄸杢獁䍁䅁睙療䝁䄰兢灂䡁䅍督灂䝁䄸杢灂䝁䄴睚獁䍁䅁兢桂䝁䅫杢あ䝁䅕杢桂䝁䄴睙求䍁䅷䅉歂䝁䅕睙療䝁䄰兢灂䡁䅍督灂䝁䄸杢灂䝁䄴睚獁䍁䅁兙畂䝁䅑䅉祂䝁䅕兢求䝁䅑兡桂䡁䅑兡療䝁䄴䅉穂䝁䅕杣㉂䝁䅫睙求䡁䅍杌杁䙁䅑䅡求䍁䅁睙療䝁䄰䅣桂䝁䄴入杁䡁䅣兙穂䍁䅁杚療䡁䅉兢求䡁䅉䅢㕂䍁䅁睡畂䝁䄸睤畂䍁䅁兙穂䍁䅁睕あ䝁䅅杢獂䝁䅕入杁䙁䅑党橂䝁䅧杢療䝁䅷睢湂䡁䅫䅉䡂䡁䅉睢ㅂ䡁䅁䅉䩂䝁䄴睙畁䍁䅁兙畂䝁䅑䅉橂䝁䅧兙畂䝁䅣党歂䍁䅁兡あ䡁䅍䅉畂䝁䅅兢求䍁䅁䅤療䍁䅁睕あ䝁䅅杢あ䝁䅕睙杁䕁䅫杢橂䍁䄴䅉灂䝁䄴䅉偂䝁䅍䅤療䝁䅉党祂䍁䅁免㕁䑁䅫䅏畁䍁䅁睕あ䝁䅅杢あ䝁䅕睙杁䕁䅫杢橂䍁䄴䅉㍂䝁䅅督杁䝁䅙睢ㅂ䝁䄴䅚求䝁䅑䅉灂䝁䄴䅉硁䑁䅫兎ぁ䍁䅁兙畂䝁䅑䅉灂䡁䅍䅉潂䝁䅕兙歂䡁䅅兤桂䡁䅉䅤求䡁䅉党歂䍁䅁兡畂䍁䅁兒歂䝁䄰睢畂䡁䅑睢畂䍁䅷䅉䑂䝁䅅杢桂䝁䅑兙畁䅁䅁睯䅅䉁䅉䅁佂䙁䅫睕䙂䑁䅯䅕塂䙁䅉䅁䍃䅁䅁杅䅁䕁䅫兕穁䑁䅁免ぁ䑁䅍睍䅁䕁䉙䅁啁䅁䅁兓剂䑁䅅䅍祁䑁䅫睍㍁䑁䅧䅁流允䅁杂䅁䕁䄴兑䅁䩁䅳䅁坁䅁䅁兓剂䑁䅅䅍ぁ䑁䅍睎㕁䑁䅁睎䅁䡁䉧䅁啁䅁䅁兓剂䑁䅣䅏祁䑁䅧睍硁䑁䅣䅁⭂允䅁䅇䅁䕁䅫兕硁䑁䅅睍祁䑁䅧䅍㍁䑁䅍兎䅁䕁䉫䅁奁䅁䅁兓剂䑁䅅免穁䑁䅙䅎ㅁ䑁䅕李㑁䅁䅁兎䅅䉁䅧䅁䩂䙁䅅免硁䑁䅙李穁䑁䅑兏ぁ䑁䅕䅁㑁允䅁䅅䅁䕁䅫兕祁䑁䅧睎睁䑁䅍䅁呂允䅁䅇䅁䕁䅫兕硁䑁䅅䅏㕁䑁䅁䅍硁䑁䅧李䅁䡁䉍䅁奁䅁䅁兓剂䑁䅅免㕁䑁䅁䅎祁䑁䅉杍㑁䅁䅁兤䅅䭁佷䅁乂䝁䅅督啂䝁䅕睙獁䍁䅁兓畂䝁䅍杌獁䍁䅁兙畂䍁䅁兡畂䝁䅙杣桂䡁䅍䅤祂䡁䅕睙あ䡁䅕杣求䍁䅁睙療䝁䄴督あ䡁䅉兤橂䡁䅑兡療䝁䄴䅉橂䝁䄸兢睂䝁䅅杢㕂䍁䅷䅉睂䡁䅉睢㉂䝁䅫䅚求䡁䅍䅉求䝁䄴睚灂䝁䄴党求䡁䅉兡畂䝁䅣䅌杁䝁䅉兤灂䝁䅷䅚灂䝁䄴睚獁䍁䅁兡畂䡁䅍䅤桂䝁䅷䅢桂䡁䅑兡療䝁䄴䅌杁䝁䄰兙灂䝁䄴䅤求䝁䄴兙畂䝁䅍党獁䍁䅁兙畂䝁䅑䅉ㅂ䡁䅁睚祂䝁䅅䅚求䍁䅁督求䡁䅉杤灂䝁䅍党穂䍁䅁杚療䡁䅉䅉橂䝁䄸兢瑂䡁䅕杢灂䝁䅍兙あ䝁䅫睢畂䡁䅍䅌杁䝁䅕杢求䡁䅉睚㕂䍁䅷䅉ㅂ䡁䅑兡獂䝁䅫䅤㕂䍁䅷䅉桂䝁䄴䅚杁䝁䄸䅤潂䝁䅕杣杁䝁䅫杢浂䡁䅉兙穂䡁䅑杣ㅂ䝁䅍䅤ㅂ䡁䅉党杁䡁䅁杣灂䝁䄰兙祂䝁䅫䅢㕂䍁䅁兡畂䍁䅁䅤潂䝁䅕䅉噂䝁䄴兡あ䝁䅕䅚杁䙁䅍䅤桂䡁䅑党穂䍁䅁兙畂䝁䅑䅉䑂䝁䅅杢桂䝁䅑兙畁䍁䅁兓あ䍁䅁睢睂䝁䅕杣桂䡁䅑党穂䍁䅁䅤潂䡁䅉睢ㅂ䝁䅣䅡杁䝁䅙兡㉂䝁䅕䅉穂䝁䅕睚瑂䝁䅕杢あ䡁䅍杏杁䕁䅍睢瑂䝁䄰兤畂䝁䅫睙桂䡁䅑兡療䝁䄴督獁䍁䅁睑獂䝁䅕兙畂䍁䅁兒畂䝁䅕杣湂䡁䅫䅉桂䝁䄴䅚杁䕁䅫杢浂䡁䅉兙穂䡁䅑杣ㅂ䝁䅍䅤ㅂ䡁䅉党獁䍁䅁睔灂䝁䅷䅉桂䝁䄴䅚杁䕁䅣兙穂䍁䅷䅉兂䝁䄸睤求䡁䅉䅉䕂䝁䅕䅢灂䡁䅙党祂䡁䅫䅌杁䝁䅅杢歂䍁䅁睔あ䝁䅧党祂䍁䄴䅉啂䝁䅧党杁䝁䅍睢瑂䡁䅁兙畂䡁䅫䅉楂䡁䅕兡獂䝁䅑䅉灂䝁䄴杚祂䝁䅅督あ䡁䅉兤橂䡁䅑兤祂䝁䅕䅉浂䝁䄸杣杁䡁䅣兡祂䝁䅕䅢求䡁䅍督杁䝁䅅杢歂䍁䅁睤灂䡁䅉党獂䝁䅫杢求䍁䄸杚灂䝁䅉党祂䍁䅁睙療䝁䄰兢ㅂ䝁䄴兡橂䝁䅅䅤灂䝁䄸杢穂䑁䅳䅉橂䝁䅷党桂䝁䄴䅉求䝁䄴党祂䝁䅣入杁䝁䅫杢浂䡁䅉兙穂䡁䅑杣ㅂ䝁䅍䅤ㅂ䡁䅉党杁䝁䅍睢瑂䡁䅁杣灂䡁䅍兡畂䝁䅣䅉祂䝁䅕杢求䡁䅣兙楂䝁䅷党杁䝁䅕杢求䡁䅉睚㕂䍁䅁䅣療䡁䅣党祂䍁䅁睚求䝁䄴党祂䝁䅅䅤灂䝁䄸杢㝁䍁䅁䅣灂䡁䅁党獂䝁䅫杢求䍁䅁兡畂䝁䅙杣桂䡁䅍䅤祂䡁䅕睙あ䡁䅕杣求䍁䅷䅉灂䝁䄴睙獂䡁䅕䅚灂䝁䄴睚杁䝁䄴兙あ䡁䅕杣桂䝁䅷䅉湂䝁䅅督獁䍁䅁睤桂䡁䅑党祂䍁䅷䅉橂䝁䅅杣楂䝁䄸杢杁䝁䅍兙睂䡁䅑兤祂䝁䅕䅉穂䝁䅕兣ㅂ䝁䅕督あ䡁䅉兙あ䝁䅫睢畂䍁䅷䅉桂䝁䄴䅚杁䝁䄸䅤潂䝁䅕杣杁䡁䅁杣療䝁䅑兤橂䡁䅑䅉あ䡁䅉兙畂䡁䅍䅣療䡁䅉䅤㝁䍁䅁䅣療䡁䅣党祂䍁䅁䅚求䝁䅷兡㉂䝁䅕杣㕂䍁䅁督求䡁䅉杤灂䝁䅍党穂䍁䅷䅉穂䡁䅕睙潂䍁䅁兙穂䍁䅁党獂䝁䅕睙あ䡁䅉兡橂䝁䅅䅢杁䝁䅅杢歂䍁䅁睚桂䡁䅍䅉あ䡁䅉兙畂䡁䅍兢灂䡁䅍督灂䝁䄸杢獁䍁䅁兙畂䝁䅑䅉歂䝁䅫督あ䡁䅉兡楂䡁䅕䅤灂䝁䄸杢杁䡁䅍入穂䡁䅑党瑂䡁䅍睏杁䝁䅫杢歂䡁䅕督あ䡁䅉兡桂䝁䅷䅉桂䝁䄴䅚杁䝁䅧党桂䡁䅙入杁䝁䅍兡㉂䝁䅫䅢杁䝁䅫杢浂䡁䅉兙穂䡁䅑杣ㅂ䝁䅍䅤ㅂ䡁䅉党獁䍁䅁兡畂䝁䅍䅢ㅂ䝁䅑兡畂䝁䅣䅉祂䝁䄸兙歂䡁䅍䅌杁䝁䅉杣灂䝁䅑睚求䡁䅍䅌杁䝁䅅杢歂䍁䅁杣桂䝁䅫䅢㝁䍁䅁兙畂䝁䅑䅉㍂䝁䅅䅤求䡁䅉䅉灂䝁䄴杚祂䝁䅅督あ䡁䅉兤橂䡁䅑兤祂䝁䅕杌杁䕁䅫䅤杁䝁䅅䅢穂䝁䄸䅉灂䝁䄴督あ䝁䅅䅢獂䡁䅍䅉求䝁䅷党橂䡁䅑杣灂䝁䅍兙獂䍁䅁兙畂䝁䅑䅉療䡁䅑䅡求䡁䅉䅉湂䝁䅅督杁䝁䅑兡穂䡁䅑杣灂䝁䅉兤あ䝁䅫睢畂䍁䅁兙畂䝁䅑䅉あ䡁䅉兙畂䡁䅍兢灂䡁䅍督灂䝁䄸杢杁䡁䅍入穂䡁䅑党瑂䡁䅍䅌杁䡁䅁睢㍂䝁䅕杣杁䝁䅣党畂䝁䅕杣桂䡁䅑兡療䝁䄴䅌杁䡁䅁睢㍂䝁䅕杣杁䝁䅣党畂䝁䅕杣桂䡁䅑兡療䝁䄴䅌杁䝁䅍兡㉂䝁䅫䅢杁䝁䅅杢歂䍁䅁兡畂䝁䅑兤穂䡁䅑杣灂䝁䅅䅢杁䝁䅙兙橂䝁䅫䅢灂䡁䅑兡求䡁䅍䅌杁䡁䅁兡睂䝁䅕䅢灂䝁䄴党穂䍁䅷䅉桂䝁䄴䅚杁䝁䅙兡楂䝁䅕杣杁䝁䄸䅣あ䝁䅫睙杁䝁䅅杢歂䍁䅁睢あ䝁䅧党祂䍁䅁睙桂䝁䅉䅢求䡁䅍䅌杁䝁䅅督杁䡁䅣党獂䝁䅷䅉桂䡁䅍䅉灂䝁䄴督あ䝁䅅䅢獂䍁䄰䅤療䍁䄰䅤潂䝁䅕兌潂䝁䄸兢求䍁䅁督求䡁䅉杤灂䝁䅍党穂䍁䄴䅉䩂䝁䄴䅉桂䝁䅑䅚灂䡁䅑兡療䝁䄴䅌杁䡁䅑䅡求䍁䅁睙療䝁䄰䅣桂䝁䄴入杁䝁䄸杚浂䝁䅕杣穂䍁䅁兢桂䝁䅫杢あ䝁䅕杢桂䝁䄴睙求䍁䅁兙畂䝁䅑䅉ㅂ䡁䅁睚祂䝁䅅䅚求䍁䅁督ㅂ䡁䅁䅣療䡁䅉䅤杁䡁䅍党祂䡁䅙兡橂䝁䅕督杁䝁䅍睢瑂䡁䅁杣灂䡁䅍兡畂䝁䅣䅉瑂䝁䅅兡畂䡁䅑党畂䝁䅅杢橂䝁䅕䅉療䝁䅙䅉橂䡁䅕督あ䝁䄸兢求䡁䅉督婁䍉䅁䅚灂䡁䅍䅤祂䝁䅫杙ㅂ䡁䅑兡療䝁䄴䅉浂䝁䅅睙灂䝁䅷兡あ䝁䅫党穂䍁䅷䅉畂䝁䅕䅤㍂䝁䄸杣牂䡁䅍䅌杁䝁䅅杢歂䍁䅁兡畂䝁䅙杣桂䡁䅍䅤祂䡁䅕睙あ䡁䅕杣求䍁䅷䅉灂䝁䄴睙獂䡁䅕䅚灂䝁䄴睚杁䝁䅍睢瑂䝁䄰兤畂䝁䅫睙桂䡁䅑兡療䝁䄴督獁䍁䅁䅣療䡁䅣党祂䍁䅁睚求䝁䄴党祂䝁䅅䅤灂䝁䄸杢獁䍁䅁䅣灂䡁䅁党獂䝁䅫杢求䍁䅷䅉求䝁䅷党橂䡁䅑杣灂䝁䅍兙獂䍁䅁䅚灂䡁䅍䅤祂䝁䅫杙ㅂ䡁䅑兡療䝁䄴䅉桂䝁䄴䅚杁䡁䅑杣桂䝁䄴督瑂䝁䅫督穂䝁䅫睢畂䍁䅷䅉桂䝁䄴䅚杁䝁䅍兡㉂䝁䅫䅢杁䝁䅅杢歂䍁䅁兡畂䝁䅑兤穂䡁䅑杣灂䝁䅅䅢杁䝁䅅杢歂䍁䅁䅡求䝁䅅杤㕂䍁䅁睙灂䡁䅙兡獂䍁䅁兡畂䝁䅙杣桂䡁䅍䅤祂䡁䅕睙あ䡁䅕杣求䑁䅳䅉穂䝁䅕杣㉂䝁䅫睙求䍁䅁杣求䡁䅍䅤療䡁䅉兙あ䝁䅫睢畂䍁䅁杚療䡁䅉䅉畂䝁䅅䅤ㅂ䡁䅉兙獂䍁䅁䅚灂䡁䅍兙穂䡁䅑党祂䡁䅍䅉桂䝁䄴䅚杁䝁䅅睙橂䝁䅫䅚求䝁䄴䅤穂䑁䅳䅉桂䝁䄴䅚杁䡁䅉睢ㅂ䡁䅑兡畂䝁䅕䅉祂䝁䅕䅣獂䝁䅅睙求䝁䄰党畂䡁䅑督杁䝁䅅杢歂䍁䅁兤睂䝁䅣杣桂䝁䅑党穂䍁䅁䅤療䍁䅁睢㉂䝁䅕杣潂䝁䅅兤獂䡁䅍杌杁䕁䅫䅤穂䍁䅁睙ㅂ䡁䅍䅤療䝁䄰党祂䡁䅍䅉灂䝁䄴睙獂䡁䅕䅚求䍁䅁睤灂䡁䅉党獂䝁䅕督穂䍁䅁兙畂䝁䅑䅉㍂䝁䅫杣求䝁䅷兡畂䝁䅕睌浂䝁䅫杙求䡁䅉䅉穂䝁䅕杣㉂䝁䅫睙求䍁䅁䅣祂䝁䄸杤灂䝁䅑党祂䡁䅍䅌杁䝁䅉杣療䝁䅅䅚楂䝁䅅杢歂䍁䅁睢睂䝁䅕杣桂䡁䅑睢祂䡁䅍䅌杁䝁䅫杢穂䡁䅑兙獂䝁䅷兌あ䝁䄸兌あ䝁䅧党瑁䝁䅧睢瑂䝁䅕䅉穂䝁䅕杣㉂䝁䅫睙求䍁䅁䅣祂䝁䄸杤灂䝁䅑党祂䡁䅍䅌杁䡁䅁兤楂䝁䅷兡橂䍁䅁兙畂䝁䅑䅉睂䡁䅉兡㉂䝁䅅䅤求䍁䅁党畂䝁䅕杣湂䡁䅫䅉睂䡁䅉睢㉂䝁䅫䅚求䡁䅉督獁䍁䅁兡畂䝁䅍䅢ㅂ䝁䅑兡畂䝁䅣䅉祂䝁䅕杢求䡁䅣兙楂䝁䅷党杁䝁䅅杢歂䍁䅁睢あ䝁䅧党祂䍁䅁党畂䝁䅕杣湂䡁䅫䅉睂䡁䅉睢㉂䝁䅫䅚求䡁䅉督獁䍁䅁䅣灂䡁䅁党獂䝁䅫杢求䍁䅁睢睂䝁䅕杣桂䡁䅑睢祂䡁䅍䅌杁䝁䅍兡㉂䝁䅫䅢杁䝁䅅杢歂䍁䅁兡畂䝁䅑兤穂䡁䅑杣灂䝁䅅䅢杁䝁䅫杢浂䡁䅉兙穂䡁䅑杣ㅂ䝁䅍䅤ㅂ䡁䅉党杁䡁䅁杣療䡁䅙兡歂䝁䅕杣穂䍁䅷䅉桂䝁䄴䅚杁䝁䅣睢㉂䝁䅕杣畂䝁䄰党畂䡁䅑䅉求䝁䄴䅤灂䡁䅑兡求䡁䅍杌杁䕁䄰兙穂䙁䅑党橂䍁䅷䅉䩂䝁䄴睙畁䍁䅁睤桂䡁䅍䅉浂䝁䄸兤畂䝁䅑党歂䍁䅁兡畂䍁䅁免㕁䑁䅉兏杁䝁䅅杢歂䍁䅁兡穂䍁䅁䅡求䝁䅅䅚硂䡁䅕兙祂䡁䅑党祂䝁䅕䅚杁䝁䅫杢杁䕁䅍睢祂䝁䅅䅢杁䕁䅣兙楂䝁䅷党穂䍁䅷䅉䝂䝁䅷睢祂䝁䅫䅚桂䍁䄴䅁剃䅁䅁杆䅁䕁䅫兕硁䑁䅉睎穁䑁䅧睎ㅁ䑁䅑䅁佃允䅁材䅁䕁䅫兕時䙁䅑睔啂䕁䅅䅔時䕁䅑兒䍂䙁䅑睘䙂䙁䅧睑䵂䙁䄸睔兂䕁䅕杕時䕁䅷兒䉂䙁䅍兒呂䅁䅁条䅁䉁䅑䅁䩂䙁䅅免祁䑁䅣䅎硁䑁䅉李䅁䕁䈴䅁坁䅁䅁兓剂䑁䅅杍㍁䑁䅕䅎穁䑁䅫䅏䅁䍁䈰䅁坁䅁䅁兓剂䑁䅅杍㕁䑁䅉李ㅁ䑁䅍䅎䅁䥁䉣䅁坃睄䅁杔坂䑁䅕䅉䡂䝁䅷睢楂䝁䅅䅢獁䍁䅁兓畂䝁䅍杌杁䡁䅁杣療䡁䅙兡歂䝁䅕督杁䡁䅑党橂䝁䅧杢療䝁䅷睢湂䡁䅫䅌杁䝁䅍睢畂䝁䅙睢祂䝁䄰兡あ䡁䅫䅉桂䡁䅍督求䡁䅍督瑂䝁䅕杢あ䍁䅷䅉橂䝁䄸杢穂䡁䅕䅢あ䝁䅫杢湂䍁䅁督療䝁䅷兤あ䝁䅫睢畂䡁䅍䅌杁䝁䅅杢歂䍁䅁督療䝁䅙䅤㍂䝁䅅杣求䍁䅁兙睂䡁䅁䅢灂䝁䅍兙あ䝁䅫睢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䩂䝁䄴杚祂䝁䅅督あ䡁䅉兤橂䡁䅑兤祂䝁䅕睏杁䕁䅉兤灂䝁䅷䅚灂䝁䄴睚獁䍁䅁䅖求䝁䅍䅡畂䝁䄸䅢療䝁䅣入杁䍁䅙䅉呂䝁䅍兡求䝁䄴睙求䡁䅍睏杁䝁䅅杢歂䍁䅁睒求䝁䄸督睂䝁䅅䅤灂䝁䅅䅢杁䙁䅍睢獂䡁䅕䅤灂䝁䄸杢穂䍁䄴䅉啂䝁䅧党杁䝁䅍睢瑂䡁䅁兙畂䡁䅫䅉療䝁䅙杚求䡁䅉督杁䡁䅍兡あ䝁䅕䅉穂䝁䅕䅢求䝁䅍䅤灂䝁䄸杢杁䝁䅅杢歂䍁䅁䅣獂䝁䅅杢畂䝁䅫杢湂䍁䅷䅉歂䝁䅕督灂䝁䅣杢獁䍁䅁睤桂䡁䅑党祂䍁䅁杣求䡁䅍睢ㅂ䡁䅉睙求䡁䅍䅌杁䡁䅍䅤祂䝁䅕党あ䍁䅁兙畂䝁䅑䅉祂䝁䄸兙歂䡁䅣兙㕂䍁䅁睙療䝁䄴督あ䡁䅉兤橂䡁䅑兡療䝁䄴䅌杁䡁䅍䅤祂䡁䅕睙あ䡁䅕杣桂䝁䅷䅉求䝁䄴睚灂䝁䄴党求䡁䅉兡畂䝁䅣䅌杁䝁䅷兙畂䝁䅑䅉歂䝁䅕杤求䝁䅷睢睂䝁䄰党畂䡁䅑䅌杁䡁䅍兤祂䡁䅙党㕂䝁䅫杢湂䍁䅷䅉睂䝁䄸睤求䡁䅉䅉歂䝁䅕䅢灂䡁䅙党祂䡁䅫䅌杁䝁䅉兤灂䝁䅷䅚灂䝁䄴睚杁䝁䅍睢歂䝁䅕䅉橂䝁䄸兢睂䝁䅷兡桂䝁䄴睙求䍁䅷䅉桂䝁䄴䅚杁䝁䄸䅤潂䝁䅕杣杁䡁䅍党祂䡁䅙兡橂䝁䅕督畁䍁䅁兓あ䍁䅁兡穂䍁䅁兙獂䡁䅍睢杁䝁䅫杢㉂䝁䄸䅢㉂䝁䅕䅚杁䝁䅫杢杁䡁䅑䅡求䍁䅁䅣祂䝁䄸杤灂䡁䅍兡療䝁䄴䅉療䝁䅙䅉湂䝁䅕睢あ䝁䅕睙潂䝁䄴兡橂䝁䅅䅢杁䡁䅍䅤ㅂ䝁䅑兡求䡁䅍䅌杁䡁䅍兡あ䝁䅕䅉灂䝁䄴督睂䝁䅕睙あ䝁䅫睢畂䡁䅍䅌杁䝁䅅兤歂䝁䅫䅤穂䍁䅷䅉桂䝁䄴䅚杁䝁䅕杤桂䝁䅷兤桂䡁䅑兡療䝁䄴督杁䝁䄸杚杁䝁䄰兙あ䝁䅕杣灂䝁䅅䅢穂䍁䅁兙畂䝁䅑䅉㍂䝁䄸杣牂䝁䄰兙畂䡁䅍䅡灂䡁䅁睏杁䝁䅕杢㉂䝁䅫杣療䝁䄴兢求䝁䄴䅤桂䝁䅷䅌杁䝁䅣党療䡁䅑党橂䝁䅧杢灂䝁䅍兙獂䍁䅷䅉桂䝁䄴䅚杁䡁䅍䅤祂䡁䅕睙あ䡁䅕杣桂䝁䅷䅉穂䡁䅕兡あ䝁䅅杙灂䝁䅷兡あ䡁䅫睏杁䝁䅍睢畂䡁䅍䅤祂䡁䅕睙あ䝁䅫睢畂䍁䅁兢桂䡁䅑党祂䝁䅫兙獂䡁䅍䅉あ䝁䅕督あ䝁䅫杢湂䍁䅁兙畂䝁䅑䅉求䝁䄴睚灂䝁䄴党求䡁䅉兡畂䝁䅣䅌杁䝁䅣党療䡁䅑党橂䝁䅧杢灂䝁䅍兙獂䍁䅁党畂䝁䅣兡畂䝁䅕党祂䝁䅫杢湂䍁䅁兙畂䝁䅑䅉橂䝁䄸杢穂䡁䅕䅢あ䝁䅫杢湂䍁䅷䅉桂䝁䄴䅚杁䝁䅙睢祂䝁䅕杢穂䝁䅫睙杁䝁䅍睢畂䡁䅍兤獂䡁䅑兡畂䝁䅣睏杁䝁䅣睢㉂䝁䅕杣畂䝁䄰党畂䡁䅑兙獂䍁䅁睢ㅂ䡁䅑督療䡁䅕杣橂䝁䅫杢湂䍁䅁兙畂䝁䅑䅉橂䝁䄸杢穂䡁䅕䅢あ䝁䅫杢湂䍁䅷䅉桂䝁䄴䅚杁䡁䅑党橂䝁䅧杢灂䝁䅍兙獂䍁䅁睢ㅂ䡁䅑督療䡁䅕杣橂䝁䅫杢湂䍁䅁督求䡁䅉杤灂䝁䅍党穂䍁䄴䅉䩂䝁䄴䅉桂䝁䅑䅚灂䡁䅑兡療䝁䄴䅌杁䡁䅑䅡求䍁䅁睙療䝁䄰䅣桂䝁䄴入杁䝁䄸杚浂䝁䅕杣穂䍁䅁兢求䝁䅍䅡桂䝁䄴兡橂䝁䅅䅢獁䍁䅁党獂䝁䅕睙あ䡁䅉兡橂䝁䅅䅢獁䍁䅁兙畂䝁䅑䅉睂䝁䅷兤瑂䝁䅉兡畂䝁䅣䅉歂䝁䅕督灂䝁䅣杢㝁䍁䅁睙療䝁䄰兢灂䡁䅍督灂䝁䄸杢灂䝁䄴睚㝁䍁䅁党畂䝁䅕杣湂䡁䅫䅉睂䝁䅕杣浂䝁䄸杣瑂䝁䅅杢橂䝁䅕䅌杁䝁䄰兙畂䝁䅅睚求䝁䄰党畂䡁䅑䅌杁䝁䅅杢歂䍁䅁睢睂䡁䅑兡瑂䝁䅫来桂䡁䅑兡療䝁䄴睏杁䝁䅍䅢灂䝁䄰兙あ䝁䅕䅉橂䝁䅧兙畂䝁䅣党杁䝁䅅杢歂䍁䅁杣求䝁䅑兤橂䝁䅫杢湂䍁䅁睑偂䑁䅉䅉求䝁䄰兡穂䡁䅍兡療䝁䄴督㝁䍁䅁杙ㅂ䝁䅫䅢歂䝁䅫杢湂䍁䅁䅣祂䝁䄸睚祂䝁䅅兢杁䝁䄰兙畂䝁䅅睚求䝁䄰党畂䡁䅑睏杁䝁䅅睙療䡁䅕督あ䝁䅫睙桂䝁䅷䅉歂䝁䅕督灂䝁䅣杢杁䝁䅍睢畂䡁䅍兤獂䡁䅑兡畂䝁䅣睏杁䝁䅅兤歂䝁䅫睢㉂䝁䅫督ㅂ䝁䅅䅢呁䡉䅍</t>
  </si>
  <si>
    <t>党橂䡁䅕杣灂䡁䅑入杁䝁䅅杢歂䍁䅁督ㅂ䡁䅉杤求䝁䅫䅢獂䝁䅅杢橂䝁䅕睏杁䝁䅅杢歂䍁䅁兡畂䝁䅙睢祂䝁䄰兙あ䝁䅫睢畂䍁䅁䅤求䝁䅍䅡畂䝁䄸䅢療䝁䅣入呁䝉䅑兙あ䝁䅅䅉橂䝁䅕杢あ䝁䅕杣杁䡁䅍党祂䡁䅙兡橂䝁䅕督畁䍁䅁杒ㅂ䡁䅉䅤潂䝁䅕杣獁䍁䅁兡あ䍁䅁䅣祂䝁䄸杤灂䝁䅑党穂䍁䅁睢橂䝁䅍兤睂䝁䅅䅤灂䝁䄸杢桂䝁䅷䅉潂䝁䅕兙獂䡁䅑䅡杁䝁䅅杢歂䍁䅁督桂䝁䅙党あ䡁䅫䅉穂䝁䅕杣㉂䝁䅫睙求䡁䅍䅌杁䝁䅫杢橂䝁䅷兤歂䝁䅫杢湂䍁䅁睤療䡁䅉睡睂䝁䅷兙橂䝁䅕䅉穂䝁䅅杚求䡁䅑入杁䝁䅅兤歂䝁䅫䅤穂䍁䅷䅉求䡁䅉睚療䝁䄴睢瑂䝁䅫睙穂䍁䅁督あ䡁䅕䅚灂䝁䅕督獁䍁䅁党瑂䝁䅕杣湂䝁䅕杢橂䡁䅫䅉睂䡁䅉党睂䝁䅅杣求䝁䅑杢求䡁䅍督杁䡁䅁䅢桂䝁䄴督杁䝁䅅杢歂䍁䅁杣求䡁䅍䅣療䝁䄴督求䍁䅁督求䡁䅉杤灂䝁䅍党穂䍁䅷䅉桂䝁䄴䅚杁䡁䅣睢祂䝁䅳䅣獂䝁䅅睙求䍁䅁兢療䝁䄴兡あ䝁䄸杣灂䝁䄴睚㝁䍁䅁杣桂䝁䅑兡桂䡁䅑兡療䝁䄴䅉求䡁䅧䅣療䡁䅍兤祂䝁䅕䅉桂䝁䄴䅚杁䡁䅁杣療䡁䅑党橂䡁䅑兡療䝁䄴䅌杁䝁䄴兤橂䝁䅷党桂䡁䅉䅉穂䝁䅅杚求䡁䅑入獁䍁䅁兙畂䝁䅑䅉灂䝁䄴䅚ㅂ䡁䅍䅤祂䝁䅫兙獂䍁䅁䅡㕂䝁䅣兡求䝁䄴党杁䝁䅅杢桂䝁䅷入穂䝁䅕督㝁䍁䅁䅡㕂䝁䅑杣療䝁䅣党療䝁䅷睢湂䝁䅫睙桂䝁䅷䅉瑂䝁䄸䅚求䝁䅷兡畂䝁䅣䅉桂䝁䄴䅚杁䝁䅕杢㉂䝁䅫杣療䝁䄴兢求䝁䄴䅤桂䝁䅷䅉睂䡁䅉睢湂䡁䅉兙瑂䡁䅍睏杁䝁䅅杢歂䍁䅁睚求䝁䄸督睂䝁䅅䅤灂䝁䅅䅢杁䝁䅑兙あ䝁䅅䅉桂䝁䄴兙獂䡁䅫䅤灂䝁䅍䅉桂䝁䄴䅚杁䝁䄰兙睂䡁䅁兡畂䝁䅣䅉穂䝁䅕杣㉂䝁䅫睙求䡁䅍杌杁䙁䅑䅡求䍁䅁睙療䝁䄰䅣桂䝁䄴入杁䡁䅍党祂䡁䅙党穂䍁䅁䅣ㅂ䝁䅉䅢灂䝁䅍䅉桂䝁䄴䅚杁䡁䅁杣灂䡁䅙兙あ䝁䅕䅉穂䝁䅕睙あ䝁䄸杣杁䝁䅍䅢灂䝁䅕杢あ䡁䅍䅉灂䝁䄴䅉あ䝁䅧党杁䝁䅫杢浂䡁䅉兙穂䡁䅑杣ㅂ䝁䅍䅤ㅂ䡁䅉党獁䍁䅁兤あ䝁䅫䅢灂䡁䅑入杁䡁䅍党祂䡁䅙兡橂䝁䅕督獁䍁䅁睙療䝁䄴督あ䡁䅉兤橂䡁䅑兡療䝁䄴䅌杁䡁䅉党桂䝁䅷䅉求䡁䅍䅤桂䡁䅑党獁䍁䅁党畂䡁䅙兡祂䝁䄸杢瑂䝁䅕杢あ䝁䅅䅢獁䍁䅁兙畂䝁䅑䅉湂䝁䅕睢穂䡁䅁兙あ䝁䅫兙獂䍁䅁兢桂䡁䅉睡求䡁䅑督獁䍁䅁兙穂䍁䅁睤求䝁䅷䅢杁䝁䅅督杁䡁䅑䅡求䍁䅁兖畁䙁䅍杌杁䕁䅙党歂䝁䅕杣桂䝁䅷䅌杁䝁䅅杢歂䍁䅁督あ䝁䅅䅤求䍁䅁兙畂䝁䅑䅉獂䝁䄸睙桂䝁䅷䅉湂䝁䄸杤求䡁䅉杢瑂䝁䅕杢あ䡁䅍杌杁䙁䅑䅡求䍁䅁睙療䝁䄰䅣桂䝁䄴入杁䡁䅣兙穂䍁䅁杚療䡁䅉兢求䡁䅉䅢㕂䍁䅁睡畂䝁䄸睤畂䍁䅁兙穂䍁䅁杔坂䑁䅕䅉䥂䝁䄸䅢歂䝁䅫杢湂䡁䅍䅌杁䕁䅫杢橂䍁䄴䅉桂䝁䄴䅚杁䝁䅍䅡桂䝁䄴睚求䝁䅑䅉灂䡁䅑督杁䝁䄴兙瑂䝁䅕䅉あ䝁䄸䅉佂䙁䅙兎杁䕁䅣䅢療䝁䅉兙獂䍁䅷䅉䩂䝁䄴睙畁䍁䅁兡畂䍁䅁䅒求䝁䅍党瑂䝁䅉党祂䍁䅁杍睁䑁䅅兎畁䍁䅁杔坂䑁䅕䅉䡂䝁䅷睢楂䝁䅅䅢獁䍁䅁兓畂䝁䅍杌杁䡁䅣兙穂䍁䅁杚療䡁䅕杢歂䝁䅕䅚杁䝁䅫杢杁䑁䅅兏ぁ䑁䅫䅉桂䝁䄴䅚杁䝁䅫督杁䝁䅧党桂䝁䅑兣ㅂ䝁䅅杣あ䝁䅕杣求䝁䅑䅉灂䝁䄴䅉䥂䝁䄸䅢獂䡁䅫睤療䝁䄸䅚獁䍁䅁杒獂䝁䄸杣灂䝁䅑兙畁䅁䅁兮䅅䉁䅙䅁䩂䙁䅅免穁䑁䅕睍㑁䑁䅫免ㅁ䅁䅁来䅅䉁䅑䅁䩂䙁䅅免穁䑁䅣睎㉁䑁䅧免䅁䙁䉅䅁啁䅁䅁䅖呂䙁䅧杏啂䕁䅍䅔畁䕁䅅䅁楄䅁䅁䅇䅁䕁䅫兕硁䑁䅍兏ぁ䑁䅁李穁䑁䅁睍䅁䕁䉅䅁啁䅁䅁兓剂䑁䅅䅎ぁ䑁䅕䅍祁䑁䅍䅁潂允䅁杆䅁䕁䅫兕㉁䑁䅁杍穁䑁䅑李ぁ䑁䅙䅁煂允䅁䅇䅁䕁䅫兕硁䑁䅑李硁䑁䅍睎ぁ䑁䅅䅎䅁䡁䉣䅁楁䅁䅁兓剂䙁䄸兒䍂䕁䅫䅖䕂䕁䅅睘䙂䙁䅅睘䩂䕁䄴睑䅁䙁䅯䅁奁䅁䅁兓剂䑁䅅兎㉁䑁䅙李㍁䑁䅕䅍㑁䅁䅁兖䅅䉁䅉䅁䩂䙁䅅免㑁䑁䅁䅎㑁䑁䅅䅁兂允䅁杇䅁䕁䅫兕硁䑁䅧李㍁䑁䅫睎睁䑁䅙兏ㅁ䅁䅁睓䅅乁䥷䅁啂䡁䅉党求䍁䅁兓穂䝁䅷兙畂䝁䅑䅉呂䡁䅑党求䝁䅷䅉䵂䡁䅑䅚畁䍁䅁兢桂䝁䄴兤浂䝁䅅睙あ䡁䅕杣求䡁䅍䅉桂䝁䄴䅚杁䡁䅍党獂䝁䅷督杁䡁䅍䅤求䝁䅕䅢杁䡁䅣兡祂䝁䅕䅉桂䝁䄴䅚杁䝁䅙兙楂䡁䅉兡橂䝁䅅䅤求䝁䅑䅉穂䡁䅑党求䝁䅷䅉㍂䝁䅫杣求䍁䅁䅣祂䝁䄸䅚ㅂ䝁䅍䅤穂䍁䅁兡畂䍁䅁睑桂䝁䄴兙歂䝁䅅䅌杁䡁䅑䅡求䍁䅁兖畂䝁䅫䅤求䝁䅑䅉呂䡁䅑兙あ䝁䅕督獁䍁䅁兙畂䝁䅑䅉灂䝁䄴䅤求䡁䅉杢桂䡁䅑兡療䝁䄴兙獂䝁䅷入畁䍁䅁兓あ䍁䅁睢浂䝁䅙党祂䡁䅍䅉獂䝁䄸睤瑁䝁䅍兙祂䝁䅉睢畂䍁䅁兙畂䝁䅑䅉潂䝁䅫睚潂䍁䄰睙桂䡁䅉杙療䝁䄴䅉湂䝁䅅䅢㉂䝁䅅杢灂䡁䅯党歂䍁䅁督あ䝁䅕党獂䍁䅁睤灂䡁䅉党穂䑁䅳䅉橂䝁䅷党桂䝁䄴䅉桂䝁䄴䅚杁䝁䅉杣灂䝁䅣䅡あ䍁䅁睤灂䡁䅉党杁䝁䅙睢祂䍁䅁兡畂䝁䅑兤穂䡁䅑杣灂䝁䅅䅢杁䝁䅅杢歂䍁䅁睢祂䝁䅫睚灂䝁䄴兙獂䍁䅁党硂䡁䅕兡睂䝁䄰党畂䡁䅑䅉瑂䝁䅅杢ㅂ䝁䅙兙橂䡁䅑兤祂䝁䅕杣杁䝁䅍兤穂䡁䅑睢瑂䝁䅕杣穂䑁䅳䅉桂䝁䅣杣灂䝁䅍兤獂䡁䅑兤祂䝁䅅䅢杁䡁䅁杣療䝁䅑兤橂䡁䅑督獁䍁䅁兡畂䝁䅍䅢ㅂ䝁䅑兡畂䝁䅣䅉浂䝁䅕杢橂䝁䅫杢湂䍁䅷䅉楂䝁䅅杣楂䝁䅕䅚杁䡁䅣兡祂䝁䅕䅌杁䝁䅣兙獂䡁䅙兙畂䝁䅫来求䝁䅑䅉㍂䝁䅫杣求䍁䅷䅉桂䝁䄴䅚杁䝁䅉杣灂䝁䅣䅡あ䍁䅁睤灂䡁䅉党獁䍁䅁兙穂䍁䅁睤求䝁䅷䅢杁䝁䅅督杁䝁䄸䅤潂䝁䅕杣杁䝁䅙兙楂䡁䅉兡橂䝁䅅䅤求䝁䅑䅉㍂䝁䅫杣求䍁䅁䅣祂䝁䄸䅚ㅂ䝁䅍䅤穂䍁䅁督睂䝁䅕睙灂䝁䅙兡橂䝁䅅䅢獂䡁䅫䅉浂䝁䄸杣杁䝁䅙兙祂䝁䄰兡畂䝁䅣䅌杁䡁䅉兙畂䝁䅍䅡灂䝁䄴睚獁䍁䅁兙畂䝁䅑䅉㉂䝁䅫杢求䡁䅫兙祂䝁䅑督㝁䍁䅁睤求䝁䅷䅚求䝁䅑䅉㍂䝁䅫杣求䍁䅁睙療䝁䄴睙祂䝁䅕䅤求䍁䅁杣求䝁䅫杢浂䝁䄸杣橂䝁䅫杢湂䍁䅁兢求䡁䅍䅡杁䝁䅅杢歂䍁䅁睢あ䝁䅧党祂䍁䅁杚桂䝁䅉杣灂䝁䅍兙あ䝁䅕䅚杁䡁䅣兡祂䝁䅕䅉睂䡁䅉睢歂䡁䅕睙あ䡁䅍䅉浂䝁䄸杣杁䝁䅧党桂䡁䅙入杁䝁䅍睢畂䡁䅍䅤祂䡁䅕睙あ䝁䅫睢畂䍁䅁兡畂䝁䅑兤穂䡁䅑杣㕂䍁䅁兙畂䝁䅑䅉灂䝁䄴杚祂䝁䅅督あ䡁䅉兤橂䡁䅑兤祂䝁䅕䅉睂䡁䅉睢煂䝁䅕睙あ䡁䅍睏杁䝁䅅杢歂䍁䅁杢桂䝁䅫䅢穂䍁䅁兙畂䝁䅑䅉穂䡁䅑兤橂䝁䅍睢杁䡁䅉党灂䝁䄴杚療䡁䅉睙灂䝁䄴睚杁䡁䅁杣療䝁䅑兤橂䡁䅑督杁䝁䅙睢祂䍁䅁杣求䡁䅍兡歂䝁䅕杢あ䝁䅫兙獂䍁䅁兙畂䝁䅑䅉獂䝁䅫睚潂䡁䅑䅉橂䝁䄸兢瑂䝁䅕杣橂䝁䅫兙獂䍁䅁睙療䝁䄴督あ䡁䅉兤橂䡁䅑兡療䝁䄴杌杁䙁䅑䅡求䍁䅁睙療䝁䄰䅣桂䝁䄴入杁䝁䅅䅢穂䝁䄸䅉睂䡁䅉睢㉂䝁䅫䅚求䡁䅍䅉楂䝁䅷兙橂䝁䅳䅉桂䝁䄴杢求䝁䅅䅢求䝁䅑䅉㍂䝁䅫杣求䡁䅍䅌杁䡁䅣睢㉂䝁䅕杢杁䝁䅅杢歂䍁䅁睤求䝁䅷䅚求䝁䅑䅉㍂䝁䅫杣求䡁䅍䅌杁䝁䅍睢祂䝁䄴党祂䡁䅍䅌杁䝁䅅杢歂䍁䅁兙橂䝁䅍党穂䡁䅍睢祂䝁䅫党穂䍁䄴䅉䩂䡁䅑䅉瑂䝁䅅杣牂䝁䅕䅤穂䍁䅁兡あ䡁䅍䅉睂䡁䅉睢歂䡁䅕睙あ䡁䅍䅉ㅂ䝁䄴䅚求䡁䅉䅉あ䝁䅧党杁䙁䅑杣求䝁䅕䅉䩂䡁䅍䅢桂䝁䄴䅚獁䍁䅁䅓桂䝁䅷督あ䝁䅕党獂䍁䅷䅉啂䡁䅉兤求䍁䅁睕睂䝁䅕睙獁䍁䅁睓瑁䕁䅷兙あ䝁䅧䅌杁䙁䅑兓杁䙁䅣兡祂䝁䅕䅌杁䙁䅑睢ㅂ䝁䅣䅡杁䙁䅍䅤祂䝁䅅杢歂䍁䅷䅉桂䝁䄴䅚杁䙁䅑睢ㅂ䝁䅣䅡兂䝁䅅杢求䝁䅷䅉楂䡁䅉兙畂䝁䅑䅉畂䝁䅅兢求䡁䅍杌杁䙁䅑䅡求䍁䅁睙療䝁䄰䅣桂䝁䄴入杁䡁䅣兙穂䍁䅁杚療䡁䅉兢求䡁䅉䅢㕂䍁䅁睡畂䝁䄸睤畂䍁䅁兙穂䍁䅁䅖祂䝁䅕党杁䕁䅫督獂䝁䅅杢歂䍁䅁睖灂䡁䅉党杁䕁䅫杢橂䝁䄸兢求䍁䅁杒ㅂ䝁䄴䅚杁䝁䅅杢歂䍁䅁睙潂䝁䅅杢湂䝁䅕䅚杁䝁䅫䅤穂䍁䅁杢桂䝁䄰党杁䡁䅑睢杁䙁䅑杣求䝁䅕䅉䩂䡁䅍䅢桂䝁䄴䅚杁䙁䅍䅤求䝁䅕䅢杁䕁䅷䅤歂䍁䄴䅉灂䝁䄴䅉偂䝁䅍䅤療䝁䅉党祂䍁䅁杍睁䑁䅅杍畁䍁䅁䅖祂䝁䅕党杁䕁䅫督獂䝁䅅杢歂䍁䅁睕あ䝁䅕党獂䍁䅁䅔あ䝁䅑杌杁䡁䅣兙穂䍁䅁杚療䡁䅕杢歂䝁䅕䅚杁䝁䅫杢杁䑁䅅兏㉁䑁䅑䅉桂䝁䄴䅚杁䝁䅫督杁䝁䅧党桂䝁䅑兣ㅂ䝁䅅杣あ䝁䅕杣求䝁䅑䅉灂䝁䄴䅉卂䝁䅫睙潂䝁䄰睢畂䝁䅑䅌杁䕁䅍兙畂䝁䅅䅚桂䍁䄴䅁䅁允䅁䅇䅁䕁䅫兕祁䑁䅁睎睁䑁䅕李ㅁ䑁䅧䅎䅁䙁䉧䅁流䅁䅁䅖桂䡁䅉睚求䡁䅑䅉䑂䝁䄸杣睂䝁䄸杣桂䡁䅑兡療䝁䄴䅁時䅁䅁杆䅁䕁䅫兕祁䑁䅉兎穁䑁䅅免ぁ䑁䅕䅁㡂允䅁杆䅁䕁䅫兕祁䑁䅉兎㍁䑁䅅兏ㅁ䑁䅣䅁䵃允䅁杄䅁䕁䄴兗呂䕁䅕杏䭂䅁䅁睥䅁䉁䅙䅁䩂䙁䅅杍祁䑁䅧李穁䑁䅫李穁䅁䅁杙䅅䉁䅙䅁䩂䙁䅅杍穁䑁䅁睎㑁䑁䅁睍㕁䅁䅁免䅅䉁䅧䅁䩂䙁䅅杍穁䑁䅙杍睁䑁䅧䅍穁䑁䅣䅁灂允䅁杆䅁䙁䅑睕奂䑁䅯杕兂䕁䅫杌噂䕁䄴䅁硄䅁䅁䅇䅁䕁䅫兕祁䑁䅍李祁䑁䅑䅎㑁䑁䅣兏䅁䝁䉣䅁㡃杄䅁兔ㅂ䝁䅕䅢獂䝁䅕杣杁䙁䅣兙あ䝁䅕杣杁䙁䅁杣療䝁䅑兤橂䡁䅑督獁䍁䅁兓畂䝁䅍杌杁䝁䄰兙畂䡁䅕杚桂䝁䅍䅤ㅂ䡁䅉党穂䍁䅁兙畂䝁䅑䅉瑂䝁䅅杣牂䝁䅕䅤穂䍁䅁䅣祂䝁䄸䅚ㅂ䝁䅍䅤穂䍁䅁兙畂䝁䅑䅉穂䝁䅕杣㉂䝁䅫睙求䡁䅍䅉浂䝁䄸杣杁䡁䅑䅡求䍁䅁䅤祂䝁䅅杢穂䝁䄰兡穂䡁䅍兡療䝁䄴䅌杁䝁䅑兡穂䡁䅑杣灂䝁䅉兤あ䝁䅫睢畂䍁䅷䅉桂䝁䄴䅚杁䝁䄰党桂䡁䅍兤祂䝁䅕兢求䝁䄴䅤杁䝁䄸杚杁䡁䅣兙あ䝁䅕杣杁䡁䅕督求䝁䅑䅉楂䡁䅫䅉瑂䡁䅕杢灂䝁䅍兡睂䝁䅅䅢灂䡁䅑兡求䡁䅍䅌杁䝁䅅杢歂䍁䅁䅤潂䝁䅕䅉祂䝁䅕督灂䝁䅑党畂䡁䅑兡桂䝁䅷䅉桂䝁䄴䅚杁䝁䄴睢畂䍁䄰杣求䡁䅍兡歂䝁䅕杢あ䝁䅫兙獂䍁䅁睙療䝁䄴督あ䡁䅉兤橂䡁䅑兡療䝁䄴䅉灂䝁䄴䅚ㅂ䡁䅍䅤祂䝁䅫党穂䍁䅁兡畂䍁䅁䅤潂䝁䅕䅉噂䝁䄴兡あ䝁䅕䅚杁䙁䅍䅤桂䡁䅑党穂䍁䅷䅉䑂䝁䅅杢桂䝁䅑兙獁䍁䅁兙畂䝁䅑䅉灂䝁䄴䅤求䡁䅉杢桂䡁䅑兡療䝁䄴兙獂䝁䅷入畁䍁䅁兓あ䍁䅁睢睂䝁䅕杣桂䡁䅑党穂䍁䅁兡畂䍁䅁䅤㍂䝁䄸䅉穂䝁䅕睚瑂䝁䅕杢あ䡁䅍䅌杁䙁䅣兙あ䝁䅕杣杁䕁䅙䅢療䡁䅣䅉呂䝁䄸䅢ㅂ䡁䅑兡療䝁䄴督杁䝁䅅杢歂䍁䅁睖桂䡁䅑党祂䍁䅁兔桂䝁䄴兙湂䝁䅕兢求䝁䄴䅤杁䙁䅍睢獂䡁䅕䅤灂䝁䄸杢穂䍁䄴䅉啂䝁䅧党杁䙁䅣兙あ䝁䅕杣杁䕁䅙䅢療䡁䅣䅉呂䝁䄸䅢ㅂ䡁䅑兡療䝁䄴督杁䡁䅍党湂䝁䄰党畂䡁䅑䅉睂䡁䅉睢㉂䝁䅫䅚求䡁䅍䅉㉂䝁䅅䅢㉂䝁䅕督杁䝁䅙睢祂䍁䅁睤桂䡁䅑党祂䍁䅁督㕂䡁䅍䅤求䝁䄰督獁䍁䅁督ㅂ䝁䅍䅡杁䝁䅅督杁䝁䅫杣療䝁䄴䅉湂䝁䅅䅤求䍁䅷䅉楂䡁䅕䅤あ䝁䅕杣浂䝁䅷入獁䍁䅁䅤桂䡁䅁䅣灂䝁䄴睚獁䍁䅁睙潂䝁䅕睙牂䍁䅷䅉牂䝁䄴兡浂䝁䅕䅌杁䡁䅁䅢ㅂ䝁䅣䅌杁䝁䅅杢歂䍁䅁杙桂䝁䅷䅢杁䡁䅙兙獂䡁䅙党穂䍁䅷䅉㍂䝁䅧兡橂䝁䅧䅉桂䡁䅉党杁䡁䅕督求䝁䅑䅉あ䝁䄸䅉橂䝁䄸杢あ䡁䅉睢獂䍁䅁䅚灂䡁䅍䅤祂䝁䅫杙ㅂ䡁䅑兡療䝁䄴䅉桂䝁䄴䅚杁䡁䅑杣桂䝁䄴督瑂䝁䅫督穂䝁䅫睢畂䍁䅁睢浂䍁䅁䅣療䡁䅑兙楂䝁䅷党杁䡁䅣兙あ䝁䅕杣杁䝁䅅杢歂䍁䅁杢療䝁䄴兌睂䝁䄸䅤桂䝁䅉䅢求䍁䅁睤桂䡁䅑党祂䍁䅷䅉桂䡁䅍䅉㍂䝁䅕䅢獂䍁䅁兙穂䍁䅁兡畂䍁䅁睤桂䡁䅑党祂䍁䅁䅤祂䝁䅅杢穂䝁䄰兡穂䡁䅍兡療䝁䄴䅉療䡁䅉䅉歂䝁䅫督あ䡁䅉兡楂䡁䅕䅤灂䝁䄸杢獁䍁䅁睤桂䡁䅑党祂䍁䅁䅤祂䝁䅕兙あ䝁䄰党畂䡁䅑䅉浂䝁䅅睙灂䝁䅷兡あ䝁䅫党穂䍁䅷䅉療䡁䅉䅉灂䝁䄴䅚ㅂ䡁䅍䅤祂䝁䅫兙獂䍁䅁兙睂䡁䅁䅢灂䝁䅍兙あ䝁䅫睢畂䡁䅍杌杁䕁䅫䅤杁䝁䅅䅢穂䝁䄸䅉療䝁䅙杚求䡁䅉督杁䡁䅍党祂䡁䅙兡橂䝁䅕䅉楂䡁䅉兙穂䡁䅍䅉睂䡁䅉睢歂䡁䅕睙あ䡁䅍杌杁䙁䅑䅡求䍁䅁睖桂䡁䅑党祂䍁䅁兔桂䝁䄴兙湂䝁䅕兢求䝁䄴䅤杁䙁䅍睢獂䡁䅕䅤灂䝁䄸杢穂䍁䅁督求䝁䅣兢求䝁䄴䅤杁䝁䄸杚浂䝁䅕杣穂䍁䅁䅚祂䡁䅫兌楂䝁䅅杣祂䝁䅕䅢杁䝁䅅杢歂䍁䅁睤求䡁䅑兌楂䝁䅅杣祂䝁䅕䅢杁䝁䅙兡祂䝁䅕䅉潂䡁䅫䅚祂䝁䅅杢あ䡁䅍䅉浂䝁䄸杣杁䡁䅣兙あ䝁䅕杣杁䝁䅫杢浂䡁䅉兙穂䡁䅑杣ㅂ䝁䅍䅤ㅂ䡁䅉党杁䝁䅑党㉂䝁䅕䅢療䡁䅁兢求䝁䄴䅤㝁䍁䅁杚灂䡁䅉党杁䡁䅁杣療䡁䅑党橂䡁䅑兡療䝁䄴䅉穂䡁䅫督あ䝁䅕兢穂䍁䅷䅉桂䝁䄴䅚杁䡁䅣兙あ䝁䅕杣杁䝁䅫杢浂䡁䅉兙穂䡁䅑杣ㅂ䝁䅍䅤ㅂ䡁䅉党杁䡁䅉党睂䝁䅅兡祂䍁䅁兙畂䝁䅑䅉祂䝁䅕䅣獂䝁䅅睙求䝁䄰党畂䡁䅑䅉睂䡁䅉睢煂䝁䅕睙あ䡁䅍睏杁䡁䅁兡睂䝁䅕䅉祂䝁䅕䅣桂䝁䅫杣杁䡁䅁杣療䝁䅑兤橂䡁䅑督獁䍁䅁督ㅂ䝁䅍䅡杁䝁䅅督杁䝁䅍睢ㅂ䡁䅁䅢灂䝁䄴睚穂䍁䅷䅉湂䡁䅉兡睂䡁䅍䅌杁䝁䅅杢歂䍁䅁睙獂䝁䅅兢睂䡁䅍䅉ㅂ䡁䅍党歂䍁䅁䅤療䍁䅁杣求䡁䅁兙灂䡁䅉䅉獂䝁䅕兙牂䡁䅍睏杁䡁䅉党穂䝁䅫䅚求䝁䄴䅤灂䝁䅅䅢獁䍁䅁杚灂䡁䅉党杁䡁䅁杣療䡁䅑党橂䡁䅑兡療䝁䄴䅌杁䝁䅅杢歂䍁䅁睙療䝁䄰兢求䡁䅉睙灂䝁䅅䅢杁䡁䅣兙あ䝁䅕杣杁䝁䄰党あ䝁䅕杣灂䝁䄴睚杁䡁䅁杣療䝁䅑兤橂䡁䅑督杁䝁䅅杢歂䍁䅁督㕂䡁䅍䅤求䝁䄰督㝁䍁䅁睤桂䡁䅑党祂䍁䅁䅢求䝁䅅睡杁䝁䅑党あ䝁䅕睙あ䝁䅫睢畂䍁䅁兙畂䝁䅑䅉睂䝁䅫䅣求䍁䅁睙療䝁䄴䅚灂䡁䅑兡療䝁䄴䅉桂䡁䅍督求䡁䅍督瑂䝁䅕杢あ䍁䅁䅣祂䝁䄸䅚ㅂ䝁䅍䅤穂䍁䅁兙畂䝁䅑䅉穂䝁䅕杣㉂䝁䅫睙求䡁䅍睏杁䝁䄰兙橂䝁䅧兡畂䝁䅕督杁䝁䅅杢歂䍁䅁䅤療䝁䄸䅢穂䍁䅁杚療䡁䅉䅉あ䝁䅅䅣睂䝁䅫杢湂䍁䅷䅉歂䡁䅉兡獂䝁䅷兡畂䝁䅣䅌杁䝁䅕䅥あ䡁䅉兙橂䡁䅑兡畂䝁䅣䅌杁䝁䅫杢穂䡁䅑兙獂䝁䅷兡畂䝁䅣䅌杁䝁䅅杢歂䍁䅁督あ䝁䄸䅣睂䝁䅫杢湂䍁䄰睢浂䝁䅙睏杁䝁䅣兙穂䍁䅁杤桂䝁䅷杤求䍁䅁䅣祂䝁䄸䅚ㅂ䝁䅍䅤穂䍁䅁杚療䡁䅉䅉ㅂ䡁䅍党杁䝁䅫杢杁䝁䅣兙穂䍁䅁䅚灂䡁䅍䅤祂䝁䅫杙ㅂ䡁䅑兡療䝁䄴䅉穂䡁䅫督あ䝁䅕兢穂䑁䅳䅉桂䝁䄴䅚杁䝁䅫杢あ䝁䅕䅢獂䝁䅫睚求䝁䄴䅤杁䡁䅣兙あ䝁䅕杣杁䡁䅍睢獂䡁䅕䅤灂䝁䄸杢穂䍁䅷䅉灂䝁䄴睙獂䡁䅕䅚灂䝁䄴睚杁䡁䅁杣求䡁䅍督ㅂ䡁䅉党杁䝁䅍睢畂䡁䅑杣療䝁䅷䅉㉂䝁䅅䅢㉂䝁䅕督獁䍁䅁兙歂䡁䅙兙畂䝁䅍党歂䍁䅁䅣祂䝁䅕督穂䡁䅕杣求䍁䅁兢桂䝁䄴兙湂䝁䅕兢求䝁䄴䅤獁䍁䅁杢求䡁䅑睤療䡁䅉睡杁䝁䅅杢桂䝁䅷入あ䝁䅫睙穂䍁䅷䅉求䡁䅙党畂䡁䅑䅉瑂䝁䅅杢桂䝁䅣党瑂䝁䅕杢あ䍁䅷䅉桂䝁䄴䅚杁䝁䅑兙あ䝁䅕䅉獂䝁䄸睚湂䝁䅫杢湂䍁䄴䅉䩂䡁䅑䅉穂䝁䅕䅢獂䡁䅍䅉灂䡁䅑督杁䡁䅁杣療䝁䅑兤橂䡁䅑督杁䡁䅕杢歂䝁䅕杣杁䡁䅑䅡求䍁䅁睑桂䝁䄴兙歂䝁䅅䅉坂䝁䅅䅢㉂䝁䅕䅌杁䕁䅍党畂䡁䅑兤祂䝁䅫睢畂䍁䅷䅉䙂䡁䅯兌乂䝁䅅䅥獁䍁䅁䅓㕂䝁䅑杣療䍁䅁睒桂䡁䅑党獁䍁䅁䅓㕂䝁䅑杣療䍁䄰睒ㅂ䝁䅅杣歂䍁䅷䅉䥂䙁䅫兔䉂䙁䅧䅌杁䕁䅧兗乂䕁䅅䅗杁䙁䅙兒卂䙁䅍兑獁䍁䅁杓療䝁䄴党穂䍁䅷䅉䱂䡁䅉兙ㅂ䡁䅍来獁䍁䅁兔灂䝁䅷䅢灂䝁䅳党畂䍁䅷䅉乂䡁䅕党獂䝁䅷党祂䍁䅁睕㕂䡁䅍䅤求䝁䄰督獁䍁䅁兔ㅂ䝁䅕䅢獂䝁䅕杣獁䍁䅁䅕祂䝁䅅䅤あ䍁䅷䅉兂䡁䅉兙あ䡁䅑䅉䩂䝁䄴䅚ㅂ䡁䅍䅤祂䝁䅫兙獂䍁䅷䅉卂䝁䅕䅣桂䝁䄰兙㑂䍁䅷䅉卂䝁䅕䅣桂䝁䅙䅢求䡁䅧䅌杁䙁䅍兡畂䝁䅣党祂䍁䅷䅉䙂䝁䅍䅡療䝁䅷睢湂䝁䅫睙穂䍁䅷䅉䙂䝁䅍䅡療䡁䅍䅡療䡁䅉党獁䍁䅁党兂䡁䅕䅢穂䝁䅕䅌杁䕁䅧党祂䡁䅍党㕂䍁䅷䅉䵂䝁䅕兙牂䕁䅙兡畂䝁䅑党祂䙁䅉䅖獁䍁䅁睕求䝁䄴䅤祂䡁䅫䅥獁䍁䅁兙畂䝁䅑䅉噂䍁䄴睕畁䍁䅁䅕灂䡁䅁党杁䙁䅙兙獂䡁䅙党杁䝁䅅杢歂䍁䅁䅓㕂䝁䅑杣桂䝁䄴䅤杁䝁䅉杣桂䝁䄴䅚穂䍁䄴䅉乂䡁䅕党獂䝁䅷党祂䍁䅁睖桂䡁䅑党祂䍁䅁䅕祂䝁䄸䅚ㅂ䝁䅍䅤穂䍁䅷䅉䩂䝁䄴睙畁䍁䅁睤桂䡁䅍䅉浂䝁䄸兤畂䝁䅑党歂䍁䅁兡畂䍁䅁免㑁䑁䅕睎杁䝁䅅杢歂䍁䅁兡穂䍁䅁䅡求䝁䅅䅚硂䡁䅕兙祂䡁䅑党祂䝁䅕䅚杁䝁䅫杢杁䕁䅅䅤獂䝁䅅杢あ䝁䅅䅌杁䕁䅣党療䡁䅉睚灂䝁䅅杌䅁䭁䉫䅁佁䅁䅁䅖呂䙁䅧杏呂䕁䅯䅁㍄䅁䅁䅈䅁䕁䄴兑呂䕁䅑兑剂䕁䅣睕㙁䙁䅕杒兂䕁䅫䅁歃䅁䅁杍䅁䕁䄰兙湂䝁䄴兙杁䕁䅫杢あ䝁䅕杣畂䝁䅅䅤灂䝁䄸杢桂䝁䅷䅉䩂䝁䄴睙畁䅁䅁䄳䅁䉁䅧䅁䩂䙁䅅杍穁䑁䅣李ㅁ䑁䅉杍睁䑁䅅䅁畁允䅁䅇䅁䕁䅫兕祁䑁䅑䅍㍁䑁䅍䅎㉁䑁䅕睍䅁䕁䉑䅁楁䅁䅁杔坂䑁䅕䅉䡂䝁䅷睢楂䝁䅅䅢獁䍁䅁兓畂䝁䅍杌䅁䡁䅯䅁坁䅁䅁兓剂䑁䅉䅎穁䑁䅫䅍祁䑁䅫睎䅁䍁䉫䅁允䅁䅁䅖呂䙁䅧杏乂䕁䅍村䅁䍁䉁䅁坁䅁䅁兓剂䑁䅉兎祁䑁䅙䅎穁䑁䅁兎䅁䙁䉙䅁䕂睂䅁杕ㅂ䡁䅍督求䝁䅷䅉乂䝁䅕䅤桂䝁䅷督杁䕁䅫杢橂䍁䄴䅉療䡁䅁党祂䝁䅅䅤求䡁䅍䅉桂䡁䅍䅉桂䍁䅁兢求䡁䅑兙獂䍁䅁䅚灂䡁䅍䅤祂䝁䅫杙ㅂ䡁䅑兡療䝁䄴䅉桂䝁䄴䅚杁䡁䅁杣療䝁䅍党穂䡁䅍兡畂䝁䅣䅉橂䝁䄸兢睂䝁䅅杢㕂䍁䅁兡畂䍁䅁睑桂䝁䄴兙歂䝁䅅䅉桂䝁䄴䅚杁䡁䅑䅡求䍁䅁兖畂䝁䅫䅤求䝁䅑䅉呂䡁䅑兙あ䝁䅕督畁䍁䅁兓あ䍁䅁睢睂䝁䅕杣桂䡁䅑党穂䍁䅁兡畂䍁䅁䅤潂䡁䅉党求䍁䅁督求䝁䅣兢求䝁䄴䅤穂䑁䅯䅉乂䝁䅕䅤桂䝁䅷督杁䙁䅍党祂䡁䅙兡橂䝁䅕䅉䑂䝁䅕杢あ䝁䅕杣穂䍁䅷䅉䙂䝁䄴党祂䝁䅣入杁䕁䅙兡求䝁䅷䅚杁䙁䅍䅤療䡁䅉党穂䍁䅷䅉桂䝁䄴䅚杁䙁䅍䅤求䝁䅕䅢杁䕁䅑兡穂䡁䅑杣灂䝁䅉兤あ䝁䅫睢畂䍁䄴䅉啂䝁䅧党杁䕁䄰党あ䝁䅅䅢杁䙁䅍党祂䡁䅙兡橂䝁䅕䅉䑂䝁䅕杢あ䝁䅕杣穂䍁䅁督求䝁䅣兢求䝁䄴䅤杁䝁䄸䅣求䡁䅉兙あ䝁䅕督杁䝁䅅䅉畂䝁䅕䅤㍂䝁䄸杣牂䍁䅁睢浂䍁䅁兢求䡁䅑兙獂䡁䅍䅉穂䝁䅕杣㉂䝁䅫睙求䍁䅁睙求䝁䄴䅤求䡁䅉督獁䍁䅁睤潂䝁䅫睙潂䍁䅁䅣祂䝁䄸杤灂䝁䅑党杁䝁䄰党あ䝁䅅䅢杁䡁䅁杣療䝁䅑兤橂䡁䅑督杁䝁䅫杢杁䡁䅉兙畂䝁䅣党杁䝁䄸杚杁䡁䅍兡㙂䝁䅕督獁䍁䅁督潂䝁䅅䅣求䡁䅍䅌杁䝁䅅杢歂䍁䅁督睂䝁䅕睙灂䝁䅙兡橂䝁䅅䅤灂䝁䄸杢穂䍁䅷䅉灂䝁䄴睙獂䡁䅕䅚灂䝁䄴睚杁䝁䅍兙祂䝁䅉睢畂䍁䅁䅡療䡁䅑䅉祂䝁䄸䅢獂䝁䅕䅚杁䝁䅅杢歂䍁䅁睙療䝁䅷䅚杁䝁䅙兡畂䝁䅫督潂䝁䅕䅚杁䡁䅍䅤求䝁䅕䅢獁䍁䅁䅣灂䡁䅁党杁䝁䅅杢歂䍁䅁䅤ㅂ䝁䅉兤獂䝁䅅杣獁䍁䅁督あ䝁䅅兡畂䝁䅷党穂䡁䅍䅉穂䡁䅑党求䝁䅷䅌杁䝁䅅䅢ㅂ䝁䄰兡畂䡁䅕兢獁䍁䅁兙畂䝁䅑䅉療䡁䅑䅡求䡁䅉䅉畂䝁䄸杢瑁䝁䅙党祂䡁䅉睢ㅂ䡁䅍䅉穂䡁䅁党橂䝁䅫兙獂䡁䅑入杁䝁䄰党あ䝁䅅䅢杁䡁䅁杣療䝁䅑兤橂䡁䅑督畁䍁䅁䅖潂䝁䅕䅉䙂䝁䄴党祂䝁䅣入杁䕁䅙兡求䝁䅷䅚杁䙁䅍䅤療䡁䅉党穂䍁䅁督求䝁䅣兢求䝁䄴䅤杁䝁䄸杚浂䝁䅕杣穂䍁䅁督睂䝁䅕睙灂䝁䅅䅢灂䡁䅯党歂䍁䅁䅣祂䝁䄸䅚ㅂ䝁䅍䅤穂䍁䅷䅉穂䡁䅕睙潂䍁䅁兙穂䍁䅁杚獂䝁䅅杢湂䝁䅕督獁䍁䅁杤桂䝁䅷杤求䡁䅍䅌杁䝁䅙兡あ䡁䅑兡畂䝁䅣督獁䍁䅁兙畂䝁䅑䅉療䡁䅑䅡求䡁䅉䅉睂䡁䅉睢歂䡁䅕睙あ䡁䅍䅉あ䝁䄸䅉求䝁䄴党祂䝁䅣入杁䝁䅫杢歂䡁䅕督あ䡁䅉入畁䍁䅁䅖潂䝁䅕䅉呂䡁䅑党求䝁䅷䅉䕂䝁䅫督あ䡁䅉兡楂䡁䅕䅤療䡁䅉督杁䡁䅍党湂䝁䄰党畂䡁䅑䅉穂䝁䅕䅢獂䡁䅍䅉穂䡁䅑党求䝁䅷䅉睂䡁䅉睢歂䡁䅕睙あ䡁䅍䅉あ䝁䄸䅉療䡁䅑䅡求䡁䅉䅉穂䡁䅑党求䝁䅷䅉穂䝁䅕杣㉂䝁䅫睙求䍁䅁睙求䝁䄴䅤求䡁䅉督杁䝁䅅杢歂䍁䅁党硂䡁䅕兡睂䝁䄰党畂䡁䅑䅉瑂䝁䅅杢ㅂ䝁䅙兙橂䡁䅑兤祂䝁䅕杣穂䍁䅷䅉㍂䝁䅧兡橂䝁䅧䅉灂䝁䄴睙獂䡁䅕䅚求䍁䅁睙桂䡁䅉杙療䝁䄴䅉穂䡁䅑党求䝁䅷䅉睂䝁䅷兙あ䝁䅕䅌杁䝁䅙䅢桂䡁䅑䅉祂䝁䄸䅢獂䝁䅕䅚杁䡁䅁杣療䝁䅑兤橂䡁䅑督獁䍁䅁杙求䝁䅅兢穂䍁䅷䅉橂䝁䅧兙畂䝁䄴党獂䡁䅍䅌杁䝁䅅杢歂䍁䅁䅣灂䡁䅁党穂䍁䄴䅉卂䡁䅕督穂䝁䅕䅢杁䕁䄰党あ䝁䅅䅢穂䍁䅁兓畂䝁䅍杌杁䡁䅣兙穂䍁䅁兡畂䝁䅍睢祂䡁䅁睢祂䝁䅅䅤求䝁䅑䅉灂䝁䄴䅉硁䑁䅫杍㕁䍁䅁兙畂䝁䅑䅉灂䡁䅍䅉潂䝁䅕兙歂䡁䅅兤桂䡁䅉䅤求䡁䅉党歂䍁䅁兡畂䍁䅁兔灂䡁䅍督灂䡁䅍督桂䡁䅕睚桂䍁䅷䅉䑂䝁䅅杢桂䝁䅑兙畁䅁䅁兵䅁䩁佯䅁乂䡁䅕党獂䝁䅷党祂䍁䅁睖桂䡁䅑党祂䍁䅁䅕祂䝁䄸䅚ㅂ䝁䅍䅤穂䍁䅷䅉䩂䝁䄴睙畁䍁䅁兢桂䝁䄴兤浂䝁䅅睙あ䡁䅕杣求䡁䅍䅉桂䝁䄴䅚杁䝁䄰兙祂䝁䅳党あ䡁䅍䅉睂䡁䅉睢歂䡁䅕睙あ䡁䅍䅉桂䝁䄴䅚杁䡁䅍党祂䡁䅙兡橂䝁䅕督杁䝁䅙睢祂䍁䅁䅤潂䝁䅕䅉あ䡁䅉兙畂䡁䅍兢灂䡁䅍督灂䝁䄸杢獁䍁䅁䅚灂䡁䅍䅤祂䝁䅫杙ㅂ䡁䅑兡療䝁䄴䅌杁䝁䅅杢歂䍁䅁兢求䝁䅅督ㅂ䡁䅉党瑂䝁䅕杢あ䍁䅁睢浂䍁䅁睤桂䡁䅑党祂䍁䅁兤穂䝁䅕䅚杁䝁䅉入杁䝁䄰兤畂䝁䅫睙灂䡁䅁兙獂䝁䅫䅤灂䝁䅕督獁䍁䅁兙畂䝁䅑䅉あ䝁䅧党杁䡁䅉党穂䝁䅫䅚求䝁䄴䅤灂䝁䅅䅢杁䝁䅅杢歂䍁䅁杢療䝁䄴兌祂䝁䅕督灂䝁䅑党畂䡁䅑兡桂䝁䅷䅉橂䝁䄸杢穂䡁䅑杣ㅂ䝁䅍䅤灂䝁䄸杢杁䝁䅫杢歂䡁䅕督あ䡁䅉兡求䡁䅍䅉灂䝁䄴䅉あ䝁䅧党杁䙁䅕杢灂䡁䅑党歂䍁䅁睕あ䝁䅅䅤求䡁䅍䅌杁䕁䅫督祂䝁䅅党獂䍁䅷䅉桂䝁䄴䅚杁䝁䅫杢あ䝁䅕杣畂䝁䅅䅤灂䝁䄸杢桂䝁䅷䅢㕂䍁䄴䅉䩂䡁䅑䅉療䡁䅁党祂䝁䅅䅤求䡁䅍䅉灂䝁䄴䅉あ䡁䅣睢杁䡁䅍党湂䝁䄰党畂䡁䅑督獁䍁䅁睖桂䡁䅑党祂䍁䅁杒獂䝁䄸睤杁䙁䅍睢獂䡁䅕䅤灂䝁䄸杢穂䍁䅁兙畂䝁䅑䅉塂䝁䅅䅤求䡁䅉䅉乂䝁䅅杢桂䝁䅣党瑂䝁䅕杢あ䍁䅁睕療䝁䅷兤あ䝁䅫睢畂䡁䅍杌杁䙁䅑䅡求䍁䅁睖桂䡁䅑党祂䍁䅁杒獂䝁䄸睤杁䙁䅍睢獂䡁䅕䅤灂䝁䄸杢穂䍁䅁督求䝁䅣兢求䝁䄴䅤杁䡁䅁杣療䡁䅙兡歂䝁䅕督杁䡁䅙兙獂䡁䅙党穂䍁䅁杚療䡁䅉䅉㍂䝁䅅䅤求䡁䅉䅉穂䡁䅫督あ䝁䅕兢穂䍁䅷䅉穂䡁䅕睙潂䍁䅁兙穂䍁䅁兡祂䝁䄸杢杁䝁䅣兙あ䝁䅕䅌杁䝁䅉兤あ䡁䅑党祂䝁䅙䅢㕂䍁䅷䅉あ䝁䅅䅣睂䝁䅫杢湂䍁䅷䅉橂䝁䅧党橂䝁䅳䅌杁䝁䅳杢灂䝁䅙党獁䍁䅁䅣獂䡁䅕睚獁䍁䅁兙畂䝁䅑䅉楂䝁䅅䅢獂䍁䅁杤桂䝁䅷杤求䡁䅍䅌杁䡁䅣䅡灂䝁䅍䅡杁䝁䅅杣求䍁䅁兤穂䝁䅕䅚杁䡁䅑睢杁䝁䅍睢畂䡁䅑杣療䝁䅷䅉歂䝁䅫督あ䡁䅉兡楂䡁䅕䅤灂䝁䄸杢杁䝁䅅杢歂䍁䅁䅤祂䝁䅅杢穂䝁䄰兡穂䡁䅍兡療䝁䄴䅉療䝁䅙䅉睂䝁䄸䅤桂䝁䅉䅢求䍁䅁睤桂䡁䅑党祂䍁䅁兙畂䝁䅑䅉畂䝁䄸杢瑁䡁䅁睢あ䝁䅅杙獂䝁䅕䅉㍂䝁䅅䅤求䡁䅉䅌杁䝁䅅督杁䡁䅣党獂䝁䅷䅉桂䡁䅍䅉灂䝁䄴䅉㍂䝁䅅䅤求䡁䅉䅉あ䡁䅉兙畂䡁䅍兢灂䡁䅍督灂䝁䄸杢杁䝁䄸杣杁䝁䅑兡穂䡁䅑杣灂䝁䅉兤あ䝁䅫睢畂䍁䅷䅉㍂䝁䅅䅤求䡁䅉䅉あ䡁䅉党桂䡁䅑兢求䝁䄴䅤杁䝁䅙兙橂䝁䅫䅢灂䡁䅑兡求䡁䅍䅌杁䝁䄸杣杁䝁䅫杢歂䡁䅕督あ䡁䅉兡桂䝁䅷䅉桂䡁䅁䅣獂䝁䅫睙桂䡁䅑兡療䝁䄴督畁䍁䅁兓あ䍁䅁兙獂䡁䅍睢杁䝁䄸杚浂䝁䅕杣穂䍁䅁督求䡁䅉杤灂䝁䅍党杁䝁䅉杣桂䡁䅍督杁䡁䅁杣療䝁䅑兤橂䡁䅑督畁䍁䅁䅖潂䝁䅕䅉塂䝁䅅䅤求䡁䅉䅉乂䝁䅅杢桂䝁䅣党瑂䝁䅕杢あ䍁䅁睕療䝁䅷兤あ䝁䅫睢畂䡁䅍䅉穂䝁䅕睚瑂䝁䅕杢あ䍁䅁睢浂䝁䅙党祂䡁䅍䅉歂䡁䅉入瑁䝁䅉兙祂䡁䅉党獂䍁䅁兙畂䝁䅑䅉㍂䝁䅕䅤瑁䝁䅉兙祂䡁䅉党獂䍁䅁杚灂䡁䅉党杁䝁䅧入歂䡁䅉兙畂䡁䅑督杁䝁䅙睢祂䍁䅁睤桂䡁䅑党祂䍁䅁兡畂䝁䅙杣桂䡁䅍䅤祂䡁䅕睙あ䡁䅕杣求䍁䅁䅚求䡁䅙党獂䝁䄸䅣瑂䝁䅕杢あ䑁䅳䅉浂䝁䅫杣求䍁䅁䅣祂䝁䄸䅤求䝁䅍䅤灂䝁䄸杢杁䡁䅍入穂䡁䅑党瑂䡁䅍䅌杁䝁䅅杢歂䍁䅁睤桂䡁䅑党祂䍁䅁兡畂䝁䅙杣桂䡁䅍䅤祂䡁䅕睙あ䡁䅕杣求䍁䅁杣求䡁䅁兙灂䡁䅉䅉桂䝁䄴䅚杁䡁䅉党睂䝁䅷兙橂䝁䅕兢求䝁䄴䅤杁䡁䅁杣療䝁䅯党橂䡁䅑督㝁䍁䅁䅣灂䡁䅁党杁䡁䅉党睂䝁䅅兡祂䍁䅁䅣祂䝁䄸䅚ㅂ䝁䅍䅤穂䍁䅷䅉穂䡁䅕睙潂䍁䅁兙穂䍁䅁睙療䡁䅕䅣獂䝁䅫杢湂䡁䅍䅌杁䝁䅣杣灂䡁䅁督獁䍁䅁兙畂䝁䅑䅉橂䝁䅷兙瑂䡁䅁督杁䡁䅕督求䝁䅑䅉あ䝁䄸䅉祂䝁䅕䅣桂䝁䅫杣杁䝁䅷党桂䝁䅳督㝁䍁䅁杣求䡁䅍兡歂䝁䅕杢あ䝁䅫兙獂䍁䅷䅉浂䝁䅫杣求䍁䅁䅣祂䝁䄸䅤求䝁䅍䅤灂䝁䄸杢獁䍁䅁兙畂䝁䅑䅉橂䝁䄸兢瑂䝁䅕杣橂䝁䅫兙獂䍁䅁睤桂䡁䅑党祂䍁䅁兢求䡁䅑党祂䝁䅫杢湂䍁䅁䅣祂䝁䄸䅚ㅂ䝁䅍䅤穂䍁䅁兙畂䝁䅑䅉穂䡁䅫督あ䝁䅕兢穂䑁䅳䅉㍂䝁䅅䅤求䡁䅉䅉獂䝁䅕兙牂䍁䅁䅚求䡁䅑党橂䡁䅑兡療䝁䄴䅉桂䝁䄴䅚杁䡁䅁兡睂䝁䅕䅉橂䝁䄸杢歂䝁䅫䅤灂䝁䄸杢杁䝁䅅督穂䝁䅕督穂䝁䄰党畂䡁䅑䅉睂䡁䅉睢歂䡁䅕睙あ䡁䅍䅉桂䝁䄴䅚杁䡁䅍党祂䡁䅙兡橂䝁䅕督㝁䍁䅁兢桂䝁䅍䅡灂䝁䄴党穂䍁䅁兙畂䝁䅑䅉あ䝁䄸睢獂䡁䅍䅉浂䝁䄸杣杁䡁䅑兙睂䡁䅁兡畂䝁䅣䅌杁䝁䅑杣灂䝁䅷䅢灂䝁䄴睚獁䍁䅁党㑂䡁䅑杣桂䝁䅍䅤灂䝁䄴睚獁䍁䅁兡畂䡁䅍䅤桂䝁䅷䅢灂䝁䄴睚獁䍁䅁兙畂䝁䅑䅉穂䡁䅑睢睂䡁䅁兡畂䝁䅣兌療䝁䅙杚㝁䍁䅁睚桂䡁䅍䅉㉂䝁䅅䅢㉂䝁䅕䅉睂䡁䅉睢歂䡁䅕睙あ䡁䅍䅉浂䝁䄸杣杁䡁䅕督求䍁䅁兡畂䍁䅁睚桂䡁䅍䅉歂䝁䅫督あ䡁䅉兡楂䡁䅕䅤灂䝁䄸杢杁䡁䅍入穂䡁䅑党瑂䡁䅍睏杁䝁䅅杢歂䍁䅁兡畂䡁䅑党獂䝁䅷兡湂䝁䅕杢あ䍁䅁睤桂䡁䅑党祂䍁䅁督療䝁䅷兤あ䝁䅫睢畂䡁䅍䅌杁䝁䅫杢橂䝁䅷兤歂䝁䅫杢湂䍁䅁䅣祂䝁䅕督穂䡁䅕杣求䍁䅁睙療䝁䄴䅤祂䝁䄸䅢杁䡁䅙兙獂䡁䅙党穂䍁䅷䅉桂䝁䅑杤桂䝁䄴睙求䝁䅑䅉睂䡁䅉党穂䡁䅍兤祂䝁䅕䅉瑂䝁䅅杢桂䝁䅣党瑂䝁䅕杢あ䍁䅷䅉畂䝁䅕䅤㍂䝁䄸杣牂䍁䅁兙畂䝁䅅䅢㕂䡁䅑兡橂䡁䅍䅌杁䝁䅕杤求䝁䄴䅤杁䝁䄰兙畂䝁䅅睚求䝁䄰党畂䡁䅑䅌杁䝁䅅杢歂䍁䅁䅚桂䡁䅑党杁䝁䅷睢湂䝁䅣兡畂䝁䅣杌杁䕁䅫䅤杁䡁䅍党獂䝁䅷督杁䝁䅫䅤穂䍁䅁䅣祂䝁䄸䅚ㅂ䝁䅍䅤穂䍁䅁兤畂䝁䅑党祂䍁䅁䅤潂䝁䅕䅉䑂䝁䅅杢桂䝁䅑兙杁䙁䅙兙獂䡁䅙党獁䍁䅁睑求䝁䄴䅤ㅂ䡁䅉兡療䝁䄴䅌杁䕁䅕来瑁䕁䄰兙㑂䍁䅷䅉䥂䡁䅫䅚祂䝁䄸䅉䡂䝁䅅䅤求䍁䅷䅉䥂䡁䅫䅚祂䝁䄸兌䡂䡁䅕兙祂䝁䅑䅌杁䕁䅧兗乂䕁䅅䅗獁䍁䅁䅓婂䕁䄰兑奂䍁䅁杖䙂䙁䅉睕䉂䍁䅷䅉䭂䝁䄸杢求䡁䅍䅌杁䕁䅳杣桂䡁䅕督㙂䍁䅷䅉乂䝁䅫䅢獂䝁䅫睡求䝁䄴䅌杁䕁䄰兤求䝁䅷䅢求䡁䅉䅉呂䡁䅫督あ䝁䅕兢穂䍁䅷䅉乂䡁䅕党獂䝁䅷党祂䍁䅷䅉兂䡁䅉兙あ䡁䅑䅌杁䙁䅁杣桂䡁䅑䅤杁䕁䅫杢歂䡁䅕督あ䡁䅉兡桂䝁䅷䅌杁䙁䅉党睂䝁䅅兢桂䡁䅧䅌杁䙁䅉党睂䝁䅅杚獂䝁䅕䅥獁䍁䅁睕灂䝁䄴睚求䡁䅉䅌杁䕁䅕睙潂䝁䄸䅢療䝁䅣兡橂䡁䅍䅌杁䕁䅕睙潂䝁䄸督潂䝁䄸杣求䍁䅷䅉求䙁䅁兤獂䡁䅍党獁䍁䅁䅓求䡁䅉督求䡁䅫䅌杁䕁䅷党桂䝁䅳杒灂䝁䄴䅚求䡁䅉杕啂䍁䅷䅉呂䝁䅕杢あ䡁䅉入㑂䍁䅷䅉桂䝁䄴䅚杁䙁䅕杌呂䍁䄴䅉兂䝁䅫䅣求䍁䅁杖桂䝁䅷杤求䍁䅁兙畂䝁䅑䅉䥂䡁䅫䅚祂䝁䅅杢あ䍁䅁杙祂䝁䅅杢歂䡁䅍杌杁䙁䅑䅡求䍁䅁睙療䝁䄰䅣桂䝁䄴入杁䡁䅣兙穂䍁䅁杚療䡁䅕杢歂䝁䅕䅚杁䝁䅫杢杁䑁䅅䅏ㅁ䑁䅣䅉桂䝁䄴䅚杁䝁䅫督杁䝁䅧党桂䝁䅑兣ㅂ䝁䅅杣あ䝁䅕杣求䝁䅑䅉灂䝁䄴䅉䉂䡁䅑䅢桂䝁䄴䅤桂䍁䅷䅉䡂䝁䅕睢祂䝁䅣兡桂䍁䄴䅁啃允䅁䅇䅁䕁䅫兕祁䑁䅕杍㕁䑁䅉睎㑁䑁䅧杍䅁䙁䈰䅁奁䅁䅁兓剂䑁䅉兎穁䑁䅫免㕁䑁䅅䅎㑁䅁䅁䅣䅅䉁䅙䅁䩂䙁䅅杍㍁䑁䅁李ぁ䑁䅕杍㉁䅁䅁䅖䅅䉁䅯䅁呂䙁䅁睘乂䕁䅅杕䱂䕁䅕䅖䑂䕁䅅䅕䅁䅁䅅䅁十䅁䅁杔婂䙁䅍兒㙁䕁䅣兔呂䅁䅁杂䅁䍁䅑䅁乂䝁䅍睑療䡁䅫䅉䡂䝁䅷睢楂䝁䅅䅢杁䕁䅫杢橂䍁䄴䅁千允䅁䅇䅁䕁䅫兕祁䑁䅣免硁䑁䅍䅎睁䑁䅅免䅁䑁䉷䅁坁䅁䅁兓剂䑁䅉睎硁䑁䅙杍硁䑁䅁䅍䅁䙁䈸䅁啁䅁䅁兓剂䑁䅉䅏ぁ䑁䅑䅏ぁ䑁䅫䅁癁允䅁杆䅁䕁䅫兕穁䑁䅁免祁䑁䅁兏㕁䑁䅅䅁㥂允䅁䅆䅁䕁䅫兕時䕁䅕村䩂䙁䅑䅒䉂䅁䅁䅖䅁䉁䅧䅁䩂䙁䅅睍睁䑁䅑䅍㕁䑁䅫䅍㉁䑁䅫䅁偂允䅁杆䅁䕁䅫兕穁䑁䅁䅏祁䑁䅑免㉁䑁䅕䅁獂允䅁杆䅁䕁䅫兕穁䑁䅁䅏祁䑁䅑免㑁䑁䅉䅁㝂允䅁杅䅁䕁䅫兕穁䑁䅅䅍ㅁ䑁䅧䅎䅁䡁䉙䅁啁䅁䅁兓剂䑁䅍免㑁䑁䅉李ぁ䑁䅍䅁婂允䅁䅆䅁䕁䅫兕穁䑁䅉睎㕁䑁䅣兏硁䅁䅁睑䅅䉁䅁䅁啂䙁䅍䅗㙁䕁䄰䅒䉂䅁䅁朰䅁䉁䅙䅁䩂䙁䅅睍穁䑁䅕睍㑁䑁䅍䅎ぁ䅁䅁杍䅅䉁䅑䅁䩂䙁䅅睍穁䑁䅣兎祁䑁䅑䅎䅁䍁䉧䅁啁䅁䅁杔婂䙁䅍兒㙁䙁䅑杕䙂䙁䅧䅁煁䅁䅁杆䅁䕁䅫兕穁䑁䅍睎㍁䑁䅑睍睁䑁䅣䅁䡂允䅁杆䅁䕁䅫兕穁䑁䅕䅎㕁䑁䅍䅏㑁䑁䅕䅁捂允䅁杅䅁䕁䅫兕穁䑁䅕兎㑁䑁䅙睍䅁䕁䈰䅁坁䅁䅁兓剂䙁䄸睒䉂䕁䅅䅕時䕁䅉睕䅁䩁䉙䅁坁䅁䅁兓剂䑁䅍兎㉁䑁䅑睎㕁䑁䅅兎䅁䥁䉙䅁杁䅁䅁兓剂䙁䄸䅓偂䕁䅷䅒䙂䙁䅉睘䑂䕁䅫兕䩂䕁䅑䅁歁允䅁杅䅁䕁䅫兕穁䑁䅧䅎㍁䑁䅣兏䅁䝁䉑䅁十䅁䅁兓剂䑁䅍兏硁䑁䅧䅍ぁ䅁䅁児䅅䉁䅉䅁䩂䙁䅅䅎睁䑁䅍䅎硁䑁䅍䅁睁允䅁杅䅁䕁䄴兗呂䕁䅕杏䭂䕁䅉兓䅁䭁䅉䅁奁䅁䅁兓剂䑁䅑免睁䑁䅁睎㍁䑁䅑䅏穁䅁䅁䅑䅅䉁䅑䅁䩂䙁䅅䅎硁䑁䅙免㉁䑁䅕䅍䅁䑁䉣䅁奁䅁䅁兓剂䑁䅑杍硁䑁䅍睍睁䑁䅉睎硁䅁䅁睖䅅䉁䅙䅁䩂䙁䅅䅎穁䑁䅍免㕁䑁䅕䅏㉁䅁䅁䅤䅅䉁䅙䅁䩂䙁䅅䅎穁䑁䅕睍睁䑁䅫睎㕁䅁䅁睧䅅䉁䅑䅁䩂䙁䅅䅎㍁䑁䅅睎ぁ䑁䅉睍䅁䝁䉍䅁啁䅁䅁兓剂䑁䅑䅏ㅁ䑁䅁睎祁䑁䅫䅁畂允䅁䅪䄴䙁䅑党祂䡁䅉兙坂䝁䅕督あ䍁䅁兓畂䝁䅑兤穂䡁䅑杣灂䝁䅕督杁䕁䅫杢橂䍁䄴䅉瑂䝁䅅杢ㅂ䝁䅙兙橂䡁䅑兤祂䝁䅕督杁䝁䅅杢歂䍁䅁督求䝁䅷䅢穂䍁䅁睚療䝁䄸䅚穂䍁䅁兙畂䝁䅑䅉穂䝁䅕杣㉂䝁䅫睙求䡁䅍䅉あ䝁䄸䅉求䝁䄴党祂䝁䅣入獁䍁䅁兙湂䡁䅉兡橂䡁䅕䅢あ䡁䅕杣求䍁䅷䅉瑂䝁䅫杢灂䝁䄴睚獁䍁䅁䅤祂䝁䅅杢穂䡁䅁睢祂䡁䅑兙あ䝁䅫睢畂䍁䅷䅉桂䝁䄴䅚杁䝁䄸䅤潂䝁䅕杣杁䝁䄰兙祂䝁䅳党あ䡁䅍䅉灂䝁䄴䅉䑂䝁䅅杢桂䝁䅑兙杁䝁䅅杢歂䍁䅁䅤潂䝁䅕䅉噂䝁䄴兡あ䝁䅕䅚杁䙁䅍䅤桂䡁䅑党穂䍁䄴䅉䩂䡁䅑䅉療䡁䅁党祂䝁䅅䅤求䡁䅍䅉あ䝁䅧杣療䡁䅕睚潂䍁䅁杚療䡁䅕杣杁䡁䅍党湂䝁䄰党畂䡁䅑督㙁䍁䅁䅓療䝁䄰党杁䕁䅧党桂䡁䅑兡畂䝁䅣䅉桂䝁䄴䅚杁䕁䅍睢療䝁䅷兡畂䝁䅣䅉兂䡁䅉睢歂䡁䅕睙あ䡁䅍䅉潁䕁䅧杖䉂䕁䅍䅉䙂䡁䅅兤灂䡁䅁兢求䝁䄴䅤灁䑁䅳䅉䑂䝁䄸兢睂䡁䅉党穂䡁䅍党歂䍁䅁睒桂䡁䅍䅉呂䡁䅑睢祂䝁䅅睚求䍁䅁兙畂䝁䅑䅉䕂䝁䅫督あ䡁䅉兡楂䡁䅕䅤灂䝁䄸杢杁䕁䅕兣ㅂ䝁䅫䅣瑂䝁䅕杢あ䍁䅁䅋䑂䝁䄸兢睂䡁䅉党穂䡁䅍党歂䍁䅁睒桂䡁䅍䅉䙂䡁䅅兤灂䡁䅁兢求䝁䄴䅤灁䑁䅳䅉䙂䝁䄴党祂䝁䅣入杁䙁䅁杣療䝁䅍党穂䡁䅍兡畂䝁䅣䅉䙂䡁䅅兤灂䡁䅁兢求䝁䄴䅤杁䍁䅧䅕祂䝁䄸睙求䡁䅍督灂䝁䄴睚杁䕁䅕兣ㅂ䝁䅫䅣瑂䝁䅕杢あ䍁䅫睏杁䝁䅅杢歂䍁䅁睕求䡁䅉杤灂䝁䅍党畁䍁䅁䅖潂䝁䅕䅉䥂䙁䅙兑䑂䍁䅁兒硂䡁䅕兡睂䝁䄰党畂䡁䅑䅉穂䝁䅕睚瑂䝁䅕杢あ䍁䅁兢桂䝁䄴兤浂䝁䅅睙あ䡁䅕杣求䡁䅍䅉桂䝁䄴䅚杁䝁䅑兡穂䡁䅑杣灂䝁䅉兤あ䝁䅕督杁䝁䅍睢瑂䝁䄰党祂䝁䅍兡桂䝁䅷䅉桂䝁䄴䅚杁䡁䅉党穂䝁䅫䅚求䝁䄴䅤灂䝁䅅䅢杁䡁䅉党浂䝁䅫杢求䝁䅑䅉浂䡁䅕党獂䍁䅁䅤桂䝁䄴睡穂䍁䅷䅉浂䡁䅕杣畂䝁䅅睙求䡁䅍䅌杁䝁䅉睢灂䝁䅷党祂䡁䅍䅌杁䝁䅅杢歂䍁䅁兙灂䡁䅉䅉橂䝁䄸杢歂䝁䅫䅤灂䝁䄸杢灂䝁䄴睚杁䝁䅕兣ㅂ䝁䅫䅣瑂䝁䅕杢あ䍁䅁兙畂䝁䅑䅉橂䝁䄸杢あ䡁䅉睢獂䡁䅍䅉あ䝁䄸䅉浂䡁䅕党獂䍁䅁䅚灂䡁䅍䅤祂䝁䅫杙ㅂ䡁䅑睢祂䡁䅍䅌杁䝁䅍睢瑂䝁䄰党祂䝁䅍兡桂䝁䅷䅉桂䝁䄴䅚杁䡁䅉党穂䝁䅫䅚求䝁䄴䅤灂䝁䅅䅢杁䝁䅍睢畂䡁䅍兤瑂䝁䅕杣穂䍁䄴䅉啂䝁䅧党杁䕁䅍睢瑂䡁䅁杣求䡁䅍督求䝁䅑䅉䡂䝁䅅督杁䕁䅕兣ㅂ䝁䅫䅣瑂䝁䅕杢あ䍁䅁督求䝁䅣兢求䝁䄴䅤杁䝁䄰兙畂䡁䅕杚桂䝁䅍䅤ㅂ䡁䅉党穂䍁䅁兙畂䝁䅑䅉穂䝁䅕䅢獂䡁䅍䅉求䝁䄴睚灂䝁䄴党求䡁䅉党歂䍁䅁䅣祂䝁䄸䅚ㅂ䝁䅍䅤穂䍁䅁杚療䡁䅉䅉あ䝁䅧党杁䡁䅍䅤療䡁䅉兙湂䝁䅕䅌杁䝁䅑兡穂䡁䅑杣灂䝁䅉兤あ䝁䅫睢畂䍁䅁兙畂䝁䅑䅉歂䝁䅫督睂䝁䅕杢穂䝁䅫杢湂䍁䅁睢浂䍁䅁睙療䝁䄰䅣祂䝁䅕督穂䝁䅕䅚杁䝁䅣兙穂䝁䅕督杁䝁䅫杢橂䝁䅷兤歂䝁䅫杢湂䍁䅁䅢灂䡁䅅兤灂䝁䅑䅉睂䡁䅉睢睂䝁䅅杢求䍁䅁睚桂䡁䅍䅌杁䝁䄴兙あ䡁䅕杣桂䝁䅷䅉湂䝁䅅督杁䝁䅷兡硂䡁䅕兡歂䡁䅍䅌杁䝁䅷兡硂䡁䅕兡浂䝁䅫党歂䍁䅁杢桂䡁䅑兤祂䝁䅅䅢杁䝁䅣兙穂䍁䅷䅉桂䝁䄴䅡㕂䝁䅑杣療䡁䅕督杁䝁䅅兢瑂䝁䄸杢灂䝁䅅䅌杁䝁䅍兙祂䝁䅉睢畂䍁䅁䅚灂䝁䄸䅥灂䝁䅑党獁䍁䅁兙畂䝁䅑䅉㉂䝁䅅杣灂䝁䄸兤穂䍁䅁睚桂䡁䅍党穂䑁䅳䅉桂䝁䄴䅚杁䝁䅉兤獂䝁䅳䅉穂䡁䅑睢祂䝁䅅睚求䍁䅁杤求䡁䅍督求䝁䅷督獁䍁䅁䅤祂䝁䅅杢穂䡁䅁睢祂䡁䅑䅉あ䡁䅉兙灂䝁䅷党祂䡁䅍䅌杁䝁䅑党獂䝁䅫杤求䡁䅉入杁䡁䅕杢灂䡁䅑督獁䍁䅁䅚灂䡁䅍䅣求䝁䄴督求䡁䅉督獁䍁䅁睙療䝁䄰兢求䡁䅉睙灂䝁䅅䅢杁䝁䅅杢歂䍁䅁杣求䡁䅍兡歂䝁䅕杢あ䝁䅫兙獂䍁䅁督あ䝁䄸杣桂䝁䅣党杁䡁䅑兙畂䝁䅳督獁䍁䅁兙畂䝁䅑䅉療䡁䅑䅡求䡁䅉䅉橂䡁䅕督あ䝁䄸兢杁䡁䅙党穂䡁䅍党獂䡁䅍杌杁䙁䅑䅡灂䡁䅍䅉穂䝁䅕睚瑂䝁䅕杢あ䍁䅁督求䝁䅷䅢穂䍁䅁兡あ䡁䅍䅉睂䡁䅉睢歂䡁䅕睙あ䡁䅍䅉あ䝁䄸䅉湂䝁䅅督杁䝁䅑兡穂䡁䅑杣灂䝁䅉兤あ䝁䄸杣穂䍁䅷䅉浂䝁䅕杣あ䝁䅫䅢灂䡁䅯党祂䍁䅁䅚灂䡁䅍䅤祂䝁䅫杙ㅂ䡁䅑睢祂䡁䅍䅌杁䝁䅙兙祂䝁䄰党祂䡁䅍䅌杁䝁䄰兡歂䡁䅍䅤祂䝁䅕兙瑂䍁䅁党畂䝁䅕杣湂䡁䅫䅉橂䝁䄸兢睂䝁䅅杢灂䝁䅕督獁䍁䅁兙畂䝁䅑䅉あ䡁䅉兙畂䡁䅍䅣療䡁䅉䅤桂䡁䅑兡療䝁䄴䅉橂䝁䄸兢睂䝁䅅杢灂䝁䅕督畁䍁䅁䅖潂䝁䅕䅉兂䡁䅉睢橂䝁䅕督穂䝁䅫杢湂䍁䅁兒硂䡁䅕兡睂䝁䄰党畂䡁䅑䅉穂䝁䅕睚瑂䝁䅕杢あ䍁䅁兢桂䝁䄴兤浂䝁䅅睙あ䡁䅕杣求䡁䅍䅉桂䝁䄴䅚杁䡁䅍党獂䝁䅷督杁䝁䅅䅉祂䝁䅅杢湂䝁䅕䅉療䝁䅙䅉求䡁䅅兤灂䡁䅁兢求䝁䄴䅤獁䍁䅁督ㅂ䝁䅍䅡杁䝁䅅督杁䡁䅣党獂䝁䅷䅡求䝁䅅䅚杁䡁䅁杣療䝁䅍党穂䡁䅍兡畂䝁䅣䅉求䡁䅅兤灂䡁䅁兢求䝁䄴䅤杁䝁䅅杢歂䍁䅁䅤桂䝁䄴睡穂䍁䅷䅉歂䝁䅕督桂䝁䄴䅚灂䝁䄴睚杁䡁䅕杢灂䡁䅑督獁䍁䅁杙灂䝁䄸睚桂䡁䅍䅉睂䡁䅉睢歂䡁䅕睙あ䝁䅫睢畂䍁䅁党硂䡁䅕兡睂䝁䄰党畂䡁䅑䅌杁䡁䅣兙あ䝁䅕杣杁䡁䅑杣求䝁䅅䅤瑂䝁䅕杢あ䍁䅁党硂䡁䅕兡睂䝁䄰党畂䡁䅑䅌杁䝁䅅杢歂䍁䅁杤桂䡁䅉兡療䡁䅕督杁䝁䅍兤穂䡁䅑睢瑂䍁䅁䅣祂䝁䄸睙求䡁䅍督杁䝁䅕兣ㅂ䝁䅫䅣瑂䝁䅕杢あ䍁䄴䅉啂䝁䅧兡穂䍁䅁督求䝁䅣兢求䝁䄴䅤杁䝁䄸杚浂䝁䅕杣穂䍁䅁兡あ䡁䅍䅉睂䡁䅉睢歂䡁䅕睙あ䡁䅍䅉あ䝁䄸䅉療䝁䅫䅢杁䝁䅅杢歂䍁䅁睚桂䡁䅍䅉睂䡁䅉睢歂䡁䅕睙求䡁䅉督獁䍁䅁兢灂䝁䅑督あ䡁䅉党桂䝁䄰䅉桂䝁䄴䅚杁䝁䅕杢湂䝁䅫杢求䝁䅕杣灂䝁䄴睚杁䝁䅍睢瑂䡁䅁兙畂䝁䅫党穂䍁䅷䅉ㅂ䡁䅑兡獂䝁䅫䅤灂䝁䅕督獁䍁䅁兙畂䝁䅑䅉瑂䡁䅕杢灂䝁䅍兡睂䝁䅅䅢灂䡁䅑兡求䡁䅍杌杁䙁䅑䅡求䍁䅁睕求䡁䅉杤灂䝁䅍党杁䡁䅍党湂䝁䄰党畂䡁䅑䅉睂䡁䅉睢㉂䝁䅫䅚求䡁䅍䅉㍂䝁䅅䅤求䡁䅉䅉瑂䝁䅅杢桂䝁䅣党瑂䝁䅕杢あ䍁䅷䅉求䝁䄴杤灂䡁䅉睢畂䝁䄰党畂䡁䅑兙獂䍁䅷䅉潂䝁䅕兙あ䝁䅫杢湂䍁䅷䅉祂䝁䅕杢あ䝁䅅䅢穂䍁䅷䅉桂䝁䄴䅚杁䡁䅣党獂䝁䅷䅉穂䝁䅕杣㉂䝁䅫睙求䡁䅍杌杁䙁䅑䅡求䍁䅁睙療䝁䄰䅣桂䝁䄴入杁䡁䅣兙穂䍁䅁杚療䡁䅉兢求䡁䅉䅢㕂䍁䅁睡畂䝁䄸睤畂䍁䅁兙穂䍁䅁䅖求䡁䅉杣桂䙁䅙党穂䡁䅑䅉䑂䝁䅅䅣灂䡁䅑兙獂䍁䅁兓畂䝁䅍杌杁䝁䅅杢歂䍁䅁睙潂䝁䅅杢湂䝁䅕䅚杁䝁䅫䅤穂䍁䅁杢桂䝁䄰党杁䡁䅑睢杁䙁䅑党祂䡁䅉兙坂䝁䅕督あ䍁䅁兓畂䝁䅑兤穂䡁䅑杣灂䝁䅕督杁䕁䅫杢橂䍁䄴䅉灂䝁䄴䅉䝂䝁䅕杙祂䡁䅕兙祂䡁䅫䅉祁䑁䅁免㑁䍁䄴䅉啂䝁䅕杣祂䝁䅅杖求䡁䅍䅤杁䕁䅫杢歂䡁䅕督あ䡁䅉兡求䡁䅍䅉䩂䝁䄴睙畁䍁䅁睤桂䡁䅍䅉浂䝁䄸兤畂䝁䅑党歂䍁䅁兡畂䍁䅁杍睁䑁䅁䅎杁䝁䅅杢歂䍁䅁兡穂䍁䅁䅡求䝁䅅䅚硂䡁䅕兙祂䡁䅑党祂䝁䅕䅚杁䝁䅫杢杁䙁䅙党湂䡁䅉党㉂䝁䅫䅢獂䝁䅕䅌杁䕁䅍兙畂䝁䅅䅚桂䍁䄴䅁䥄䅁䅁䅆䅁䕁䅫兕ぁ䑁䅧睎㉁䑁䅑李ぁ䅁䅁杋䅅䉁䅉䅁䩂䙁䅅兎祁䑁䅧杍㕁䑁䅑䅁䵂允䅁䅇䅁䕁䅫兕ㅁ䑁䅣兎㕁䑁䅁李穁䑁䅙睎䅁䍁䉳䅁坁䅁䅁兓剂䑁䅕䅏硁䑁䅣䅍㑁䑁䅕免䅁䥁䉅䅁坁䅁䅁兓剂䑁䅕䅏硁䑁䅣免睁䑁䅅䅎䅁䑁䈴䅁坁䅁䅁兓剂䑁䅕䅏硁䑁䅣免㍁䑁䅁䅍䅁䝁䉳䅁啁䅁䅁兓剂䑁䅙免硁䑁䅕睎ぁ䑁䅁䅁䥃允䅁䅅䅁䙁䅑睕奂䑁䅯䅒䍂䕁䄰䅁䭁䅁䅁䅆䅁䕁䅫兕㉁䑁䅅杍ぁ䑁䅙兏㑁䅁䅁村䅅䉁䅁䅁啂䙁䅍䅗㙁䕁䅉睔呂䅁䅁䄰䅁䉁䅷䅁呂䡁䅕䅣祂䝁䅕兢求䡁䅧䅉䩂䝁䄴睙畁䅁䅁䄹䅁䉁䅑䅁䩂䙁䅅李ぁ䑁䅙睍ぁ䑁䅙李䅁䝁䈰䅁啁䅁䅁䅖呂䙁䅧杏䑂䕁䅍䅔畁䕁䅉䅁潄䅁䅁䅆䅁䕁䅫兕㉁䑁䅑睎㉁䑁䅉䅍ぁ䅁䅁䅫䅅䉁䅉䅁䩂䙁䅅李㍁䑁䅫兎㍁䑁䅉䅁䭂允䅁杅䅁䕁䅫兕㉁䑁䅧睍㍁䑁䅣兏䅁䙁䉉䅁十䅁䅁兓剂䑁䅣兎㍁䑁䅕䅏㕁䅁䅁全䅅䉁䅑䅁䩂䙁䅅睎㑁䑁䅉䅏穁䑁䅉李䅁䡁䈸䅁啁䅁䅁兓剂䑁䅧免㍁䑁䅉兏硁䑁䅅䅁偃允䅁䅅䅁䙁䅑睕奂䑁䅯䅒偂䕁䄸䅁塁允䅁杆䅁䕁䅫兕㑁䑁䅑兎穁䑁䅑李硁䑁䅁䅁㝁允䅁杅䅁䕁䅫兕㑁䑁䅕睎㕁䑁䅍兏䅁䝁䈸䅁啁䅁䅁兓剂䑁䅧兏ㅁ䑁䅣兎祁䑁䅫䅁㙁允䅁杅䅁䕁䅫兕㕁䑁䅍李ぁ䑁䅉䅍䅁䍁䉷䅁十䅁䅁兓剂䑁䅫睎穁䑁䅅杍ぁ䅁䅁入䅅䉁䅙䅁佂䙁䅫睕䙂䕁䅅兔㙁䕁䅅䅕啂䅁䅁䅅䅁䍁䅑䅁䩂䙁䅅睘䑂䕁䅅睕䥂䙁䄸睕啂䙁䄸兓佂䙁䅙兒呂䙁䅑䅁灂䅁䅁杓䅁䕁䅫兕時䕁䅕村䩂䙁䅑䅒䉂䙁䄸兒剂䙁䄸兓佂䕁䅍睘䙂䙁䅧睑䵂䙁䄸睔兂䕁䅕杕時䕁䅷兒䉂䙁䅍兒時䕁䅅䅒䭂䅁䅁兦䅁乁䙧䅁兂䡁䅉兡瑂䝁䄸杣灂䡁䅍䅉呂䝁䅕杣㉂䝁䅫睙求䡁䅍䅉䑂䝁䄸杣睂䝁䄸杣桂䡁䅑兡療䝁䄴䅉睂䡁䅉睢㉂䝁䅫䅚求䡁䅍䅉灂䝁䄴杚祂䝁䅅督あ䡁䅉兤橂䡁䅑兤祂䝁䅕䅉穂䝁䅕杣㉂䝁䅫睙求䡁䅍䅉睂䡁䅉兡瑂䝁䅅杣灂䝁䅷入杁䝁䅫杢杁䡁䅑䅡求䍁䅁兖畂䝁䅫䅤求䝁䅑䅉呂䡁䅑兙あ䝁䅕督杁䝁䅅杢歂䍁䅁睑桂䝁䄴兙歂䝁䅅杌杁䙁䅑䅡求䍁䅁睙療䝁䄰䅣桂䝁䄴入杁䝁䄸䅣求䡁䅉兙あ䝁䅕督杁䝁䅫杢杁䡁䅑睤療䍁䅁督求䝁䅣兢求䝁䄴䅤穂䑁䅯䅉噂䡁䅑兡獂䝁䅫䅤灂䝁䅕督杁䝁䅅杢歂䍁䅁兒畂䝁䅕杣湂䡁䅫杌杁䙁䅑䅡求䍁䅁兖あ䝁䅫䅢灂䡁䅑兡求䡁䅍䅉穂䝁䅕睚瑂䝁䅕杢あ䍁䅁睢浂䝁䅙党祂䡁䅍䅉灂䝁䄴督あ䝁䅅䅢獂䝁䅅䅤灂䝁䄸杢杁䝁䅅杢歂䍁䅁兢桂䝁䅫杢あ䝁䅕杢桂䝁䄴睙求䍁䅁睢浂䍁䅁杢求䡁䅣䅉桂䝁䄴䅚杁䝁䅕䅥灂䡁䅍䅤灂䝁䄴睚杁䝁䄴兙あ䡁䅕杣桂䝁䅷䅉湂䝁䅅督杁䝁䅅杢歂䍁䅁党獂䝁䅕睙あ䡁䅉兡橂䍁䅁兤あ䝁䅫䅢灂䡁䅑入杁䝁䅑兡穂䡁䅑杣灂䝁䅉兤あ䝁䅫睢畂䍁䅁兙畂䝁䅑䅉あ䡁䅉兙畂䡁䅍兢灂䡁䅍督灂䝁䄸杢杁䡁䅍入穂䡁䅑党瑂䡁䅍䅌杁䝁䅅杢歂䍁䅁睙療䝁䄰兢ㅂ䝁䄴兡橂䝁䅅䅤灂䝁䄸杢穂䍁䅁督㕂䡁䅍䅤求䝁䄰督畁䍁䅁䅖潂䝁䅕䅉䙂䝁䄴党祂䝁䅣入杁䡁䅍党湂䝁䄰党畂䡁䅑䅉睂䡁䅉睢㉂䝁䅫䅚求䡁䅍䅉求䝁䄴睚灂䝁䄴党求䡁䅉兡畂䝁䅣䅌杁䡁䅁杣療䝁䅍兤祂䝁䅕兢求䝁䄴䅤獁䍁䅁睙療䝁䄴督あ䡁䅉兤橂䡁䅑兡療䝁䄴䅌杁䝁䅅杢歂䍁䅁兢桂䝁䅫杢あ䝁䅕杢桂䝁䄴睙求䍁䅁督求䡁䅉杤灂䝁䅍党穂䍁䅁杚療䡁䅉䅉求䝁䄴䅤灂䡁䅑兡求䡁䅍䅉灂䝁䄴䅉あ䝁䅧党杁䝁䅕杢求䡁䅉睚㕂䍁䅷䅉祂䝁䅕杢求䡁䅣兙楂䝁䅷党杁䝁䅕杢求䡁䅉睚㕂䍁䅁兙畂䝁䅑䅉求䝁䄴党祂䝁䅣入杁䡁䅍䅤療䡁䅉兙湂䝁䅕䅌杁䡁䅉党畂䝁䅕睤桂䝁䅉䅢求䍁䅁杚ㅂ䝁䅕䅢穂䍁䅷䅉桂䝁䄴䅚杁䡁䅁党あ䡁䅉睢獂䝁䅕兤瑂䍁䅁兙畂䝁䅑䅉睂䝁䅕䅤祂䝁䄸睙潂䝁䅕兢灂䝁䅍兙獂䍁䅁兡畂䝁䅑兤穂䡁䅑杣灂䝁䅕督獁䍁䅁兙穂䍁䅁睤求䝁䅷䅢杁䝁䅅督杁䡁䅍䅤桂䡁䅑党杁䝁䅑党睂䝁䅅杣あ䝁䄰党畂䡁䅑督杁䝁䄸杚杁䡁䅑杣桂䝁䄴督睂䝁䄸杣あ䝁䅅䅤灂䝁䄸杢畁䍁䅁䅖潂䝁䅕䅉橂䝁䄸兢睂䝁䅅杢㕂䍁䅁兙獂䡁䅍睢杁䡁䅁杣療䡁䅙兡歂䝁䅕督杁䡁䅉党睂䝁䅷兙橂䝁䅕兢求䝁䄴䅤杁䡁䅍党祂䡁䅙兡橂䝁䅕督畁䍁䅁䅕祂䝁䅫兢療䡁䅉兡穂䍁䅁睕求䡁䅉杤灂䝁䅍党穂䍁䅁睑療䡁䅉䅣療䡁䅉兙あ䝁䅫睢畂䍁䅁睤桂䡁䅍䅉浂䝁䄸兤畂䝁䅑党歂䍁䅁兡畂䍁䅁免㕁䑁䅙䅍杁䝁䅅杢歂䍁䅁兡穂䍁䅁䅡求䝁䅅䅚硂䡁䅕兙祂䡁䅑党祂䝁䅕䅚杁䝁䅫杢杁䕁䅑兙獂䝁䅷兙穂䍁䅷䅉啂䝁䅕䅥桂䡁䅍杌䅁䭁䈴䅁楁䅁䅁兓剂䙁䄸䅓偂䕁䅷䅒䙂䙁䅉睘呂䕁䅧兑卂䕁䅕睕䅁䍁䉣䅁允䅁䅁䅖呂䙁䅧杏塂䙁䅍䅕䅁䡁䅁䅁慁䅁䅁兓剂䙁䄸兔䉂䙁䅉睓䙂䙁䅑睑䉂䙁䅁䅁䱁䅁䅁杋䅁䕁䅫兕時䕁䄰兓佂䕁䄸杕䩂䙁䅑兗時䕁䅫杔啂䕁䅕杕䙂䙁䅍䅖䅁䕁䅷䅁奁䅁䅁兓剂䙁䄸杔䙂䙁䅑睘䕂䕁䅕村啂䅁䅁睒䅁䍁䅙䅁䩂䙁䅅睘佂䕁䅕䅖時䕁䅑兒䍂䙁䅑睘䙂䕁䅉兓啂䕁䅑兑䅁䝁䅍䅁煁䅁䅁兓畂䝁䅑兡㉂䝁䅫䅚ㅂ䝁䅅䅢穂䍁䄸兓畂䡁䅍兡歂䝁䅕杣穂䅁䅁杉䅅䕁䅧䅁䩂䙁䅅睘佂䕁䅕䅖時䕁䅑兒䍂䙁䅑睘䙂䕁䅉兓啂䕁䅑兑時䕁䅕䅗䑂䕁䅷睘偂䙁䅁兒卂䙁䄸䅔䙂䕁䅅睕䙂䙁䅍䅁歂䅁䅁䅕䅁䕁䅫兕時䕁䄴兒啂䙁䄸䅒䙂䕁䅉䅖時䕁䅕村䩂䙁䅑䅒䉂䙁䄸兒奂䕁䅍䅔時䕁䄸䅕䙂䙁䅉睘䵂䕁䅕兑呂䕁䅕睕時䕁䅅䅒䭂䅁䅁党䅁䅁䄴䅁䩂䙁䅅睘兂䕁䅉杖䅁䅁䅣䅁十䅁䅁兓剂䙁䄸䅕䍂䙁䅙睘奂䅁䅁杙䅁䉁䅁䅁啂䙁䅍䅗㙁䕁䅉䅒啂䅁䅁䅘䅁䉁䅙䅁䩂䙁䅅睘兂䕁䅕睘䙂䙁䅧睑䵂䅁䅁䅂䅁䅁䄴䅁䩂䙁䅅睘啂䕁䅕杖䅁䕁䅯䅁捁䅁䅁兓剂䙁䄸䅖䙂䙁䅙睘䙂䕁䅉兓啂䕁䅑兑䅁䩁䄰䅁畁䅁䅁䅖祂䝁䅕党杁䕁䅫督獂䝁䅅杢歂䍁䅁睕あ䝁䅕党獂䍁䅁䅔あ䝁䅑杌䅁偁䅳䅁啁䅁䅁䅖呂䙁䅧杏䥂䕁䄰兔畁䕁䅅䅁䙁允䅁䅊䅁䕁䅫兕時䙁䅑兒坂䙁䄸兒䍂䕁䅫䅖䕂䕁䅅睘䝂䙁䅣䅒䅁䭁䅁䅁允䅁䅁杔婂䙁䅍兒㙁䙁䅑䅖䅁䍁䄸䅁畁䅁䅁兓剂䙁䄸䅖䙂䙁䅙睘䙂䙁䅧睑䵂䙁䄸睔兂䕁䅕杕時䕁䅷兒䉂䙁䅍兒䅁䝁䅁䅁睁䅁䅁兓剂䙁䄸䅖䙂䙁䅙睘䙂䙁䅧睑䵂䙁䄸睔兂䕁䅕杕時䕁䅷兒䉂䙁䅍兒呂䅁䅁兙䅁䉁䅷䅁䩂䙁䅅睘啂䕁䄸䅖䉂䕁䅷睘䕂䕁䅕村啂䅁䅁䅡䅁䍁䅯䅁䩂䙁䅅睘啂䕁䄸䅖䉂䕁䅷睘偂䙁䅁兒卂䙁䄸䅔䙂䕁䅅睕䙂䙁䅍䅁䝃䅁䅁杇䅁䕁䄸䅖䑂䙁䅁睓㙁䕁䅅杒䩂䕁䅫杌剂䅁䅁杅䅁䉁䅑䅁佂䙁䅫睕䙂䑁䅯䅕䡂䙁䅑兓䅁䍁䅁䅁浂睄䅁杔坂䑁䅕䅉䡂䝁䅷睢楂䝁䅅䅢獁䍁䅁兓畂䝁䅍杌杁䡁䅁杣療䡁䅙兡歂䝁䅕督杁䡁䅑党橂䝁䅧杢療䝁䅷睢湂䡁䅫䅌杁䝁䅍睢畂䝁䅙睢祂䝁䄰兡あ䡁䅫䅉桂䡁䅍督求䡁䅍督瑂䝁䅕杢あ䍁䅷䅉橂䝁䄸杢穂䡁䅕䅢あ䝁䅫杢湂䍁䅁督療䝁䅷兤あ䝁䅫睢畂䡁䅍䅌杁䝁䅅杢歂䍁䅁督療䝁䅙䅤㍂䝁䅅杣求䍁䅁兙睂䡁䅁䅢灂䝁䅍兙あ䝁䅫睢畂䡁䅍䅉あ䝁䄸䅉睂䡁䅕杙獂䝁䅫睙杁䝁䅅杢歂䍁䅁䅣祂䝁䅫杤桂䡁䅑党杁䡁䅍党橂䡁䅑睢祂䍁䅁睙獂䝁䅫党畂䡁䅑督杁䝁䅫杢杁䡁䅑䅡求䍁䅁兡畂䝁䅙杣桂䡁䅍䅤祂䡁䅕睙あ䡁䅕杣求䍁䅷䅉ㅂ䡁䅑兡獂䝁䅫䅤㕂䍁䅁督求䡁䅉杤灂䝁䅍党穂䍁䅷䅉橂䝁䄸杢穂䡁䅑杣ㅂ䝁䅍䅤灂䝁䄸杢獁䍁䅁杣求䝁䅅䅢杁䝁䅕督あ䝁䅅䅤求䍁䅷䅉求䝁䄴杤灂䡁䅉睢畂䝁䄰党畂䡁䅑兙獂䍁䅷䅉桂䝁䄴䅚杁䝁䅣党療䡁䅍䅣桂䡁䅑兡桂䝁䅷䅉瑂䝁䅅杣牂䝁䅕䅤穂䍁䅁兡畂䍁䅁䅤潂䝁䅕䅉噂䝁䄴兡あ䝁䅕䅚杁䙁䅍䅤桂䡁䅑党穂䍁䅁兙畂䝁䅑䅉灂䝁䄴䅤求䡁䅉杢桂䡁䅑兡療䝁䄴兙獂䝁䅷入畁䍁䅁兓あ䍁䅁睢睂䝁䅕杣桂䡁䅑党穂䍁䅁䅤潂䡁䅉睢ㅂ䝁䅣䅡杁䡁䅑䅡祂䝁䅕党杁䡁䅍党湂䝁䄰党畂䡁䅑督㙁䍁䅁兓畂䝁䅙杣桂䡁䅍䅤祂䡁䅕睙あ䡁䅕杣求䑁䅳䅉䍂䡁䅕兡獂䝁䅑兡畂䝁䅣䅌杁䙁䅑党橂䝁䅧杢療䝁䅷睢湂䡁䅫䅉流䍁䅁睕橂䝁䅫党畂䝁䅍党穂䑁䅳䅉桂䝁䄴䅚杁䕁䅣党療䡁䅍䅣桂䡁䅑兡桂䝁䅷䅉呂䝁䄸䅢ㅂ䡁䅑兡療䝁䄴督畁䍁䅁䅖潂䝁䅕䅉橂䝁䄸兢睂䝁䅅杢㕂䍁䅁睢浂䝁䅙党祂䡁䅍䅉穂䝁䅫䅤求䍁䅁督求䝁䅷党橂䡁䅑兡療䝁䄴䅉桂䝁䄴䅚杁䡁䅁䅢桂䝁䄴杢灂䝁䄴睚獁䍁䅁䅚求䡁䅍兡湂䝁䄴䅌杁䡁䅣兙あ䝁䅕杣杁䡁䅉党穂䝁䄸兤祂䝁䅍党穂䍁䅷䅉穂䡁䅑杣ㅂ䝁䅍䅤ㅂ䡁䅉兙獂䍁䅁党畂䝁䅣兡畂䝁䅕党祂䝁䅫杢湂䍁䅷䅉獂䝁䅅杢歂䍁䅁䅚求䡁䅙党獂䝁䄸䅣瑂䝁䅕杢あ䍁䅷䅉穂䡁䅕杣㉂䝁䅕入灂䝁䄴睚獁䍁䅁䅣療䡁䅣党祂䍁䅁䅚求䝁䅷兡㉂䝁䅕杣㕂䍁䅷䅉楂䡁䅕兡獂䝁䅑兡畂䝁䅣䅉橂䝁䄸䅚求䍁䅁睙療䝁䄰䅣獂䝁䅫兙畂䝁䅍党獁䍁䅁兙畂䝁䅑䅉療䡁䅑䅡求䡁䅉䅉穂䝁䅕杣㉂䝁䅫睙求䡁䅍杌杁䕁䅫䅤杁䝁䅫督杁䝁䅅䅢穂䝁䄸䅉灂䝁䄴杤療䝁䅷杤求䝁䅑䅉灂䝁䄴䅉あ䝁䅧党杁䝁䅍睢畂䡁䅍䅤祂䡁䅕睙あ䝁䅫睢畂䍁䅁睢浂䍁䅁䅡灂䝁䅣䅡㍂䝁䅅入穂䍁䅷䅉楂䡁䅉兡歂䝁䅣党穂䍁䅁兙畂䝁䅑䅉あ䡁䅕杢畂䝁䅕䅢穂䑁䅳䅉歂䝁䅕杤求䝁䅷睢睂䝁䄰党畂䡁䅑䅉療䝁䅙䅉祂䝁䅅兡獂䍁䅁兙畂䝁䅑䅉獂䝁䅫睚潂䡁䅑䅉祂䝁䅅兡獂䍁䅁督㕂䡁䅍䅤求䝁䄰督㝁䍁䅁䅣祂䝁䄸杤灂䡁䅍兡療䝁䄴䅉療䝁䅙䅉穂䝁䅕杣㉂䝁䅫睙求䡁䅍䅉祂䝁䅕䅢桂䡁䅑党歂䍁䅁䅤療䍁䅁督あ䡁䅉党求䡁䅑䅉桂䝁䄴䅚杁䡁䅉睢桂䝁䅑睤桂䡁䅫䅉橂䝁䄸杢穂䡁䅑杣ㅂ䝁䅍䅤灂䝁䄸杢㝁䍁䅁兙畂䝁䅑䅉橂䝁䄸杢穂䡁䅑杣ㅂ䝁䅍䅤灂䝁䄸杢杁䝁䄰兙あ䝁䅕杣灂䝁䅅䅢穂䍁䅁䅤求䡁䅍䅤灂䝁䄴睚杁䝁䅅杢歂䍁䅁党畂䝁䅣兡畂䝁䅕党祂䝁䅫杢湂䍁䅷䅉湂䝁䅕睢あ䝁䅕睙潂䝁䄴兡橂䝁䅅䅢杁䝁䅕杢湂䝁䅫杢求䝁䅕杣灂䝁䄴睚杁䝁䅅杢歂䍁䅁睙療䝁䄴督ㅂ䝁䅷䅤灂䝁䄴睚獁䍁䅁兙畂䝁䅑䅉浂䝁䄸杣求䝁䄴督灂䝁䅍䅉橂䝁䄸杢穂䡁䅕䅢あ䝁䅫杢湂䍁䅁督求䡁䅉杤灂䝁䅍党穂䍁䄴䅉䩂䝁䄴䅉桂䝁䅑䅚灂䡁䅑兡療䝁䄴䅌杁䡁䅑䅡求䍁䅁睙療䝁䄰䅣桂䝁䄴入杁䡁䅁杣療䡁䅙兡歂䝁䅕督杁䝁䅣睢㉂䝁䅕杣畂䝁䄰党畂䡁䅑兙獂䍁䅁睢ㅂ䡁䅑督療䡁䅕杣橂䝁䅫杢湂䍁䅁兙畂䝁䅑䅉橂䝁䄸杢穂䡁䅕䅢あ䝁䅫杢湂䍁䅷䅉桂䝁䄴䅚杁䡁䅑党橂䝁䅧杢灂䝁䅍兙獂䍁䅁睢ㅂ䡁䅑督療䡁䅕杣橂䝁䅫杢湂䍁䅁督求䡁䅉杤灂䝁䅍党穂䑁䅳䅉桂䝁䄴䅚杁䝁䅣党療䡁䅍䅣桂䡁䅑兡桂䝁䅷䅉歂䝁䅅䅤桂䍁䅁兙畂䝁䅅䅢㕂䡁䅑兡橂䍁䅁兙畂䝁䅑䅉瑂䝁䅅䅣睂䝁䅫杢湂䍁䅁督求䡁䅉杤灂䝁䅍党穂䍁䅷䅉桂䡁䅍䅉㍂䝁䅕䅢獂䍁䅁兙穂䍁䅁杣求䝁䄰睢あ䝁䅕䅉穂䝁䅕杢穂䝁䅫杢湂䍁䅁督求䡁䅉杤灂䝁䅍党穂䍁䄴䅉䝂䡁䅕杣あ䝁䅧党祂䍁䅷䅉灂䡁䅑䅉療䝁䅙杚求䡁䅉督杁䝁䄰党橂䝁䅧兙畂䝁䅫睙桂䝁䅷䅌杁䝁䅕䅢求䝁䅍䅤祂䝁䅫睙桂䝁䅷䅌杁䝁䅅杢歂䍁䅁䅣獂䡁䅕兢楂䝁䅫杢湂䍁䅁䅚求䡁䅍兡湂䝁䄴睏杁䝁䅍睢瑂䝁䄰兡穂䡁䅍兡療䝁䄴兡畂䝁䅣睏杁䝁䅕杢求䡁䅉睚㕂䍁䅁䅣求䡁䅉杚療䡁䅉兢桂䝁䄴睙求䍁䅷䅉瑂䝁䅅杢桂䝁䅣党瑂䝁䅕杢あ䍁䅷䅉桂䝁䄴䅚杁䝁䄸䅣あ䝁䅫兢灂䡁䅯兙あ䝁䅫睢畂䑁䅳䅉橂䝁䅷兡瑂䝁䅅䅤求䍁䅁睙潂䝁䅅杢湂䝁䅕䅉桂䝁䄴䅚杁䡁䅉党歂䡁䅕睙灂䝁䄴睚杁䕁䅍睔祁䍁䅁党瑂䝁䅫督穂䝁䅫睢畂䡁䅍睏杁䝁䅉兤灂䝁䅷䅚灂䝁䄴睚杁䡁䅁杣療䝁䅣杣桂䝁䄰䅉瑂䝁䅅杢桂䝁䅣党瑂䝁䅕杢あ䑁䅳䅉桂䝁䅍睢ㅂ䡁䅍䅤灂䝁䅍兙獂䍁䅁䅚求䡁䅍兡湂䝁䄴䅉橂䝁䄸杢穂䡁䅕䅢あ䝁䅫杢湂䑁䅳䅉桂䝁䄴䅚杁䝁䅅兤歂䝁䅫睢㉂䝁䅫督ㅂ䝁䅅䅢呁䡉䅍党橂䡁䅕杣灂䡁䅑入杁䝁䅅杢歂䍁䅁督ㅂ䡁䅉杤求䝁䅫䅢獂䝁䅅杢橂䝁䅕祅灂䝁䄴杚療䡁䅉兢桂䡁䅑兡療䝁䄴䅉あ䝁䅕睙潂䝁䄴睢獂䝁䄸睚㕂䉁杍䅚桂䡁䅑兙杁䝁䅍党畂䡁䅑党祂䍁䅁督求䡁䅉杤灂䝁䅍党穂䍁䄴䅉䉂䝁䅑䅚灂䡁䅑兡療䝁䄴兙獂䝁䅷入獁䍁䅁䅤潂䝁䅕䅉橂䝁䄸兢睂䝁䅅杢㕂䍁䅁䅣祂䝁䄸杤灂䝁䅑党穂䍁䅁杤桂䡁䅉兡療䡁䅕督杁䡁䅍党祂䡁䅙兡橂䝁䅕督獁䍁䅁督ㅂ䝁䅍䅡杁䝁䅅督杁䝁䅫杢㉂䝁䅕督あ䝁䅫睚桂䡁䅑兡畂䝁䅣䅉桂䝁䄴䅚杁䝁䅅杢桂䝁䅷入㙂䝁䅫杢湂䍁䅁党畂䡁䅙兡祂䝁䄸杢瑂䝁䅕杢あ䝁䅅䅢杁䝁䅍睢畂䝁䅑兡あ䝁䅫睢畂䡁䅍䅌杁䝁䅅杢歂䍁䅁杣求䝁䅍睢瑂䝁䄰党畂䝁䅑兡畂䝁䅣䅉橂䝁䄸杣祂䝁䅕睙あ䝁䅫杤求䍁䅁兢求䝁䅅督ㅂ䡁䅉党穂䍁䅁兙畂䝁䅑䅉睂䡁䅉睢橂䝁䅕䅚ㅂ䡁䅉党穂䑁䅳䅉療䝁䅍睙ㅂ䡁䅁兙あ䝁䅫睢畂䝁䅅䅢杁䝁䅧党桂䝁䅷䅤潂䍁䅁兙畂䝁䅑䅉穂䝁䅅杚求䡁䅑入杁䡁䅍党祂䡁䅙兡橂䝁䅕督㝁䍁䅁杣桂䝁䅑兡桂䡁䅑兡療䝁䄴䅉求䡁䅧䅣療䡁䅍兤祂䝁䅕䅉桂䝁䄴䅚杁䡁䅁杣療䡁䅑党橂䡁䅑兡療䝁䄴䅌杁䝁䅅杢歂䍁䅁杢ㅂ䝁䅍䅢求䝁䅅杣杁䡁䅍兙浂䝁䅕䅤㕂䍁䅁兙畂䝁䅑䅉灂䝁䄴䅚ㅂ䡁䅍䅤祂䝁䅫兙獂䍁䅁䅡㕂䝁䅣兡求䝁䄴党杁䝁䅅杢桂䝁䅷入穂䝁䅕督杁䡁䅍党祂䡁䅙兡橂䝁䅕督㝁䍁䅁䅡㕂䝁䅑杣療䝁䅣党療䝁䅷睢湂䝁䅫睙桂䝁䅷䅉瑂䝁䄸䅚求䝁䅷兡畂䝁䅣䅉桂䝁䄴䅚杁䝁䅕杢㉂䝁䅫杣療䝁䄴兢求䝁䄴䅤桂䝁䅷䅉睂䡁䅉睢湂䡁䅉兙瑂䡁䅍杌杁䙁䅑䅡求䍁䅁睙療䝁䄰䅣桂䝁䄴入杁䡁䅣兙穂䍁䅁杚療䡁䅉兢求䡁䅉䅢㕂䍁䅁睡畂䝁䄸睤畂䍁䅁兙穂䍁䅁杔坂䑁䅕䅉䥂䝁䄸䅢歂䝁䅫杢湂䡁䅍䅌杁䕁䅫杢橂䍁䄴䅉桂䝁䄴䅚杁䝁䅍䅡桂䝁䄴睚求䝁䅑䅉灂䡁䅑督杁䝁䄴兙瑂䝁䅕䅉あ䝁䄸䅉佂䙁䅙兎杁䕁䅣䅢療䝁䅉兙獂䍁䅷䅉䩂䝁䄴睙畁䍁䅁兡畂䍁䅁䅒求䝁䅍党瑂䝁䅉党祂䍁䅁杍睁䑁䅅兎畁䍁䅁杔坂䑁䅕䅉䡂䝁䅷睢楂䝁䅅䅢獁䍁䅁兓畂䝁䅍杌杁䡁䅣兙穂䍁䅁杚療䡁䅕杢歂䝁䅕䅚杁䝁䅫杢杁䑁䅅兏ぁ䑁䅫䅉桂䝁䄴䅚杁䝁䅫督杁䝁䅧党桂䝁䅑兣ㅂ䝁䅅杣あ䝁䅕杣求䝁䅑䅉灂䝁䄴䅉䥂䝁䄸䅢獂䡁䅫睤療䝁䄸䅚獁䍁䅁杒獂䝁䄸杣灂䝁䅑兙畁䅁䅁六䅁䍁䅯䅁䩂䙁䅅睘啂䕁䄸䅖䉂䕁䅷睘兂䙁䅉兒䝂䙁䄸兒剂䙁䅕兓啂䙁䅫䅁䱂䅁䅁䅌䅁䕁䅯兙橂䝁䄸杙穂䍁䅁睕療䝁䅷兤あ䝁䅫睢畂䡁䅍䅉䩂䝁䄴睙畁䅁䅁䅦䅁䉁䅁䅁啂䙁䅍䅗㙁䕁䄰兑䵂䅁䅁睺䅁䍁䅑䅁呂䙁䅁睘卂䕁䅕杖時䕁䄰兒䕂䕁䅫兑佂䙁䄸兒呂䙁䅑䅁卂䅁䅁䅃䅁䕁䅷䅖乂䅁䅁䅕䅁乁䥙䅁䭂䝁䅅睙療䝁䅉督杁䙁䅍睢獂䡁䅕䅤灂䝁䄸杢穂䍁䅁兓畂䝁䅍杌杁䡁䅁杣療䡁䅙兡歂䝁䅕督杁䝁䅍睢畂䡁䅍兤獂䡁䅑兡畂䝁䅣䅌杁䡁䅑党橂䝁䅧杢灂䝁䅍兙獂䍁䅷䅉求䝁䄴睚灂䝁䄴党求䡁䅉兡畂䝁䅣䅌杁䡁䅍睙灂䝁䅕杢あ䝁䅫杚灂䝁䅍䅌杁䝁䅅杢歂䍁䅁䅣祂䝁䄸条求䝁䅍䅤杁䝁䅑党獂䝁䅫杤求䡁䅉入杁䡁䅍党祂䡁䅙兡橂䝁䅕督杁䝁䅙睢祂䍁䅁䅤潂䝁䅕䅉湂䝁䄸杤求䡁䅉杢瑂䝁䅕杢あ䍁䅁兙畂䝁䅑䅉睂䡁䅉兡㉂䝁䅅䅤求䍁䅁督求䝁䅍䅤療䡁䅉督杁䝁䅫杢杁䡁䅑䅡求䍁䅁兖畂䝁䅫䅤求䝁䅑䅉呂䡁䅑兙あ䝁䅕督獁䍁䅁兒ㅂ䡁䅉睢睂䝁䅕䅌杁䕁䅍兙畂䝁䅅䅚桂䍁䅷䅉䩂䝁䄴䅚灂䝁䅅䅌杁䕁䅅督灂䝁䅅䅌杁䕁䅅兤穂䡁䅑杣桂䝁䅷兡桂䍁䅷䅉佂䝁䅕睤杁䙁䅯党桂䝁䅷兙畂䝁䅑䅌杁䡁䅑䅡求䍁䅁兔灂䝁䅑䅚獂䝁䅕䅉䙂䝁䅅督あ䍁䅷䅉桂䝁䄴䅚杁䕁䅅杚祂䝁䅫睙桂䍁䄴䅉䩂䡁䅑䅉療䡁䅁党祂䝁䅅䅤求䡁䅍䅉あ䝁䅧杣療䡁䅕睚潂䍁䅁睑祂䝁䅫䅤灂䝁䅍兙獂䍁䅁兔灂䡁䅍督灂䝁䄸杢杁䙁䅍睢獂䡁䅕䅤灂䝁䄸杢穂䍁䅷䅉兂䝁䅕睢睂䝁䅷党杁䍁䅙䅉兂䝁䅷兙橂䝁䅕督杁䙁䅍睢獂䡁䅕䅤灂䝁䄸杢穂䍁䅷䅉䕂䝁䅫杤求䡁䅉睚求䝁䄴䅤杁䙁䅍睢獂䡁䅕䅤灂䝁䄸杢穂䍁䅷䅉桂䝁䄴䅚杁䙁䅁兑杁䕁䅍睢畂䡁䅍兤獂䡁䅑兡畂䝁䅣䅉穂䝁䅕睚瑂䝁䅕杢あ䡁䅍杌杁䙁䅑䅡求䍁䅁睙療䝁䄰䅣桂䝁䄴入杁䝁䄸杚浂䝁䅕杣穂䍁䅁睙㕂䝁䅉党祂䍁䅷䅉歂䝁䅅䅤桂䍁䅁兙畂䝁䅅䅢㕂䡁䅑兡橂䡁䅍䅌杁䡁䅍入穂䡁䅑党瑂䡁䅍䅉桂䝁䄴䅚杁䡁䅍睢浂䡁䅑睤桂䡁䅉党杁䝁䅅䅣睂䝁䅷兡橂䝁䅅䅤灂䝁䄸杢杁䝁䅫杢あ䝁䅕睚祂䝁䅅䅤灂䝁䄸杢杁䝁䅅杢歂䍁䅁睙療䝁䄴督ㅂ䝁䅷䅤灂䝁䄴睚獁䍁䅁党畂䡁䅑党祂䡁䅁杣灂䡁䅍党杁䝁䅷党㉂䝁䅕䅢杁䝁䅅杢歂䍁䅁兢灂䡁䅍督灂䝁䄸杢杁䕁䅫䅖獁䍁䅁䅚求䡁䅍兡湂䝁䄴䅌杁䝁䄴兤橂䝁䅷党桂䡁䅉䅌杁䝁䅅杢歂䍁䅁党畂䡁䅑党祂䡁䅁杣灂䡁䅍党杁䝁䅷党㉂䝁䅕䅢杁䝁䄸䅣求䡁䅉兙あ䝁䅫睢畂䡁䅍䅉桂䝁䄴䅚杁䝁䄰兙灂䝁䄴䅤求䝁䄴兙畂䝁䅍党杁䡁䅍党祂䡁䅙兡橂䝁䅕督㝁䍁䅁督療䝁䅙䅤㍂䝁䅅杣求䍁䅁䅚求䡁䅙党獂䝁䄸䅣瑂䝁䅕杢あ䍁䅷䅉あ䝁䅕督あ䝁䅫杢湂䍁䅷䅉瑂䝁䅫督穂䝁䅫睢畂䍁䅁兡畂䡁䅑党湂䡁䅉兙あ䝁䅫睢畂䍁䅷䅉睂䡁䅉睢湂䡁䅉兙瑂䍁䅁兢桂䝁䄴兙湂䝁䅕兢求䝁䄴䅤獁䍁䅁杣求䡁䅍党桂䡁䅉睙潂䍁䅷䅉歂䝁䅕杤求䝁䅷睢睂䝁䄰党畂䡁䅑䅌杁䡁䅑党穂䡁䅑䅌杁䝁䅕杤桂䝁䅷兤桂䡁䅑兡療䝁䄴䅉穂䝁䅕杣㉂䝁䅫睙求䡁䅍䅌杁䡁䅑杣桂䝁䅫杢灂䝁䄴睚獁䍁䅁兙畂䝁䅑䅉求䝁䄴杤灂䡁䅉睢畂䝁䄰党畂䡁䅑兙獂䍁䅁杣求䝁䄰党歂䝁䅫兙あ䝁䅫睢畂䍁䅁督求䡁䅉杤灂䝁䅍党穂䑁䅳䅉桂䝁䄴䅚杁䝁䄸䅤潂䝁䅕杣杁䡁䅑党橂䝁䅧杢灂䝁䅍兙獂䍁䅁睙療䝁䄴督ㅂ䝁䅷䅤灂䝁䄴睚杁䡁䅍睢獂䡁䅕䅤灂䝁䄸杢穂䍁䅷䅉桂䡁䅍䅉㍂䝁䅕䅢獂䍁䅁兙穂䍁䅁睙療䝁䄴督あ䡁䅉兤橂䡁䅑兡療䝁䄴䅉桂䝁䄴䅚杁䝁䅍睢畂䡁䅍䅤祂䡁䅕睙あ䝁䅫睢畂䍁䅁兢桂䝁䄴兙湂䝁䅕兢求䝁䄴䅤杁䡁䅍党祂䡁䅙兡橂䝁䅕督畁䍁䅁兓あ䍁䅁兙獂䡁䅍睢杁䡁䅁杣療䡁䅙兡歂䝁䅕督杁䝁䅍睢畂䡁䅍兤獂䡁䅑兡畂䝁䅣䅉穂䝁䅕杣㉂䝁䅫睙求䡁䅍䅉浂䝁䄸杣杁䝁䅍睢畂䡁䅍兤瑂䝁䅕杣杁䝁䅅杢歂䍁䅁兢桂䝁䄴兤浂䝁䅅睙あ䡁䅕杣灂䝁䄴睚獁䍁䅁䅚求䝁䅙党畂䡁䅍党杁䝁䅅杢歂䍁䅁督求䝁䅍兤祂䝁䅫䅤㕂䍁䅷䅉求䝁䄴党祂䝁䅣入杁䝁䅅杢歂䍁䅁兤あ䝁䅫䅢灂䡁䅑兡求䡁䅍䅌杁䝁䅙兡畂䝁䅅杢橂䝁䅫兙獂䍁䅁督求䡁䅉杤灂䝁䅍党穂䍁䅷䅉湂䝁䄸杤求䡁䅉杢瑂䝁䅕杢あ䍁䅷䅉潂䝁䅕兙獂䡁䅑䅡杁䝁䅅杢歂䍁䅁䅢灂䝁䅙党杁䡁䅍睙灂䝁䅕杢橂䝁䅕督獁䍁䅁兙畂䝁䅑䅉あ䡁䅉兙畂䡁䅍䅣療䡁䅉䅤杁䝁䅫杢歂䡁䅕督あ䡁䅉兡求䡁䅍杌杁䙁䅑䅡求䍁䅁睙療䝁䄰䅣桂䝁䄴入杁䡁䅣兙穂䍁䅁杚療䡁䅕杢歂䝁䅕䅚杁䝁䅫杢杁䑁䅅兏ぁ䑁䅣䅉桂䝁䄴䅚杁䝁䅫督杁䝁䅧党桂䝁䅑兣ㅂ䝁䅅杣あ䝁䅕杣求䝁䅑䅉灂䝁䄴䅉䕂䝁䅅䅢獂䝁䅅督獁䍁䅁䅖求䡁䅧兙穂䍁䄴䅁佃䅁䅁䅆䅁䕁䅳村卂䍁䅷䅉䩂䝁䄴睙畁䅁䅁兤䅁乁䵷䅁䱂䕁䅉杕獁䍁䅁兓畂䝁䅍杌杁䡁䅁杣療䡁䅙兡歂䝁䅕督杁䡁䅍睙灂䝁䅕杢あ䝁䅫杚灂䝁䅍䅌杁䡁䅑党橂䝁䅧杢療䝁䅷睢湂䡁䅫䅌杁䝁䅅杢歂䍁䅁党畂䝁䅣兡畂䝁䅕党祂䝁䅫杢湂䍁䅁督療䝁䅷兤あ䝁䅫睢畂䡁䅍䅉あ䝁䄸䅉湂䝁䄸杤求䡁䅉杢瑂䝁䅕杢あ䡁䅍䅉桂䝁䄴䅚杁䝁䅍睢瑂䝁䄰党祂䝁䅍兡桂䝁䅷䅉橂䡁䅕督あ䝁䄸兢求䡁䅉督杁䡁䅣睢祂䝁䅷䅚㍂䝁䅫䅚求䍁䄴䅉䩂䡁䅑䅉療䡁䅁党祂䝁䅅䅤求䡁䅍䅉あ䝁䅧杣療䡁䅕睚潂䍁䅁睒療䡁䅙党祂䝁䄴兢求䝁䄴䅤杁䙁䅍睢獂䡁䅕䅤灂䝁䄸杢穂䍁䅁兙畂䝁䅑䅉呂䡁䅕督あ䝁䅅兡畂䝁䅅杙獂䝁䅕䅉啂䝁䅕睙潂䝁䄴睢獂䝁䄸睚㕂䍁䅁睕療䝁䅷兤あ䝁䅫睢畂䡁䅍䅉穂䝁䅕睚瑂䝁䅕杢あ䡁䅍杌杁䙁䅑䅡求䍁䅁睒療䡁䅙党祂䝁䄴兢求䝁䄴䅤杁䙁䅍睢獂䡁䅕䅤灂䝁䄸杢穂䍁䅁督求䝁䅣兢求䝁䄴䅤杁䝁䄸杚浂䝁䅕杣穂䍁䅁䅢灂䝁䅙党瑁䝁䅍入橂䝁䅷党杁䡁䅍兤睂䡁䅁睢祂䡁䅑䅉穂䝁䄸䅢ㅂ䡁䅑兡療䝁䄴督杁䡁䅑睢杁䝁䅑党浂䝁䅕杢穂䝁䅕䅌杁䝁䅫杢あ䝁䅕䅢獂䝁䅫睚求䝁䄴睙求䍁䅷䅉穂䡁䅁兙橂䝁䅕䅌杁䝁䅅杤灂䝁䅅䅤灂䝁䄸杢獁䍁䅁兙畂䝁䅑䅉療䡁䅑䅡求䡁䅉䅉睂䡁䅉睢湂䡁䅉兙瑂䡁䅍䅉桂䝁䄴䅚杁䝁䄰兡穂䡁䅍兡療䝁䄴督杁䝁䅙睢祂䍁䅁兢灂䝁䅷兡あ䝁䅅杣㕂䍁䅁兙畂䝁䅑䅉療䡁䅑䅡求䡁䅉䅉湂䝁䄸杤求䡁䅉杢瑂䝁䅕杢あ䍁䅁兙湂䝁䅕杢橂䝁䅫党穂䍁䅁兡畂䍁䅁䅤潂䝁䅕䅉噂䝁䄴兡あ䝁䅕䅚杁䙁䅍䅤桂䡁䅑党穂䍁䅷䅉あ䝁䅧党杁䙁䅕杢灂䡁䅑党歂䍁䅁睓灂䝁䄴睚歂䝁䄸兢獁䍁䅁兙畂䝁䅑䅉䉂䡁䅕督あ䡁䅉兙獂䝁䅫兙畁䍁䅁兓あ䡁䅍䅉穂䝁䅕杣㉂䝁䅫睙求䡁䅍䅉橂䝁䄸杤求䡁䅉䅉祂䝁䅕督求䝁䅅杣橂䝁䅧䅉桂䝁䄴䅚杁䝁䅑党㉂䝁䅕䅢療䡁䅁兢求䝁䄴䅤獁䍁䅁兙歂䡁䅙兙畂䝁䅍党歂䍁䅁䅣祂䝁䄸䅤療䡁䅑入睂䝁䅫杢湂䍁䅷䅉桂䝁䅍兣ㅂ䝁䅫督灂䡁䅑兡療䝁䄴䅉穂䡁䅕䅣睂䝁䄸杣あ䍁䅷䅉穂䡁䅫督あ䝁䅕兢穂䍁䅁党畂䝁䅣兡畂䝁䅕党祂䝁䅫杢湂䍁䅷䅉橂䡁䅫杙求䡁䅉䅉桂䝁䄴兙獂䡁䅫䅤灂䝁䅍督獁䍁䅁督睂䝁䅅睙求䍁䅁䅚療䝁䄰兙灂䝁䄴䅉桂䡁䅣兙祂䝁䅕杢求䡁䅍督獁䍁䅁䅤求䡁䅍䅤杁䝁䅅杢歂䍁䅁党㉂䝁䅅䅢ㅂ䝁䅅䅤灂䝁䄸杢獁䍁䅁督㕂䡁䅍䅤求䝁䄰督杁䝁䅫杢あ䝁䅕睚祂䝁䅅䅤灂䝁䄸杢杁䝁䅅杢歂䍁䅁䅣祂䝁䄸睚祂䝁䅅兢杁䝁䄰兙畂䝁䅅睚求䝁䄰党畂䡁䅑䅌杁䝁䅣䅢療䝁䅉兙獂䍁䅁督ㅂ䡁䅁䅣獂䡁䅫䅉橂䝁䅧兙灂䝁䄴䅉瑂䝁䅅杢桂䝁䅣党瑂䝁䅕杢あ䍁䅷䅉桂䝁䄴䅚杁䝁䄸䅣求䡁䅉兙あ䝁䅫睢畂䡁䅍䅉祂䝁䅕兙歂䝁䅫杢求䡁䅍督杁䝁䅅杢歂䍁䅁督ㅂ䡁䅁䅣療䡁䅉䅤獁䍁䅁兙穂䍁䅁睤求䝁䅷䅢杁䝁䅅督杁䝁䅍睢瑂䝁䄰兙畂䝁䅑䅌杁䝁䅍睢畂䡁䅑杣療䝁䅷䅌杁䝁䅍睢瑂䝁䄰兤畂䝁䅫睙桂䡁䅑兡療䝁䄴督獁䍁䅁睙療䝁䄰䅣ㅂ䡁䅑党祂䡁䅍䅌杁䝁䅫杢あ䝁䅕䅢獂䝁䅫睚求䝁䄴睙求䍁䅷䅉穂䡁䅕杣㉂䝁䅕兡獂䝁䅷兙畂䝁䅍党獁䍁䅁兙畂䝁䅑䅉祂䝁䅕睙療䝁䄴杢桂䝁䅫督穂䝁䅅杢橂䝁䅕䅉穂䝁䅕杣㉂䝁䅫睙求䡁䅍杌杁䙁䅑䅡灂䡁䅍䅉穂䝁䅕睚瑂䝁䅕杢あ䍁䅁兙獂䡁䅍睢杁䡁䅁杣療䡁䅙兡歂䝁䅕督杁䡁䅙兙祂䝁䅫睢ㅂ䡁䅍䅉睂䡁䅉睢浂䝁䅕督穂䝁䅫睢畂䝁䅅䅢杁䝁䅅䅚㉂䝁䅫督療䡁䅉入杁䡁䅍党祂䡁䅙兡橂䝁䅕督杁䡁䅑睢杁䡁䅑䅡求䍁䅁䅚求䝁䅙党畂䡁䅍党獁䍁䅁杣求䝁䄴党㍂䝁䅅杙獂䝁䅕䅉求䝁䄴党祂䝁䅣入獁䍁䅁兙畂䝁䅑䅉橂䡁䅉兡あ䝁䅫睙桂䝁䅷䅉灂䝁䄴杚祂䝁䅅督あ䡁䅉兤橂䡁䅑兤祂䝁䅕䅉穂䝁䅕睙あ䝁䄸杣穂䍁䄴䅉啂䝁䅧党杁䙁䅍兤穂䡁䅑兙灂䝁䄴兙楂䝁䅷党杁䙁䅑党橂䝁䅧杢療䝁䅷睢湂䡁䅫䅉呂䝁䄸䅢ㅂ䡁䅑兡療䝁䄴督杁䡁䅍党湂䝁䄰党畂䡁䅑䅉療䡁䅁党祂䝁䅅䅤求䡁䅍䅉睂䝁䄸杣あ䝁䅙睢獂䝁䅫睢杁䝁䄸杚杁䡁䅙兙祂䝁䅫睢ㅂ䡁䅍䅉睂䡁䅉睢睂䡁䅉兡求䡁䅑兙祂䡁䅫䅉睂䡁䅉睢橂䝁䅕督穂䍁䅁䅤求䝁䅍䅡畂䝁䄸䅢療䝁䅣兡求䡁䅍䅉浂䝁䄸杣杁䝁䅅兢瑂䝁䄸杢灂䝁䅅睌穂䡁䅫杢湂䝁䅅督獁䍁䅁睙潂䝁䅕兢灂䝁䅍兙獂䍁䄸䅣求䡁䅑杣療䝁䅍䅡求䝁䄰兡橂䝁䅅䅢穂䍁䅷䅉橂䝁䅷党桂䝁䄴䅉祂䝁䅕杚灂䝁䄴兡畂䝁䅣䅌杁䝁䅅杢歂䍁䅁睙灂䡁䅉睙ㅂ䝁䅷兙祂䍁䅁䅣祂䝁䄸睙求䡁䅍督癁䝁䅍兡祂䝁䅍兤獂䝁䅅杣杁䝁䅕睙療䝁䄴睢瑂䡁䅫䅉穂䝁䄸䅢ㅂ䡁䅑兡療䝁䄴督畁䍁䅁䅖潂䝁䅫督杁䡁䅍党湂䝁䄰党畂䡁䅑䅉桂䝁䅷督療䍁䅁䅣祂䝁䄸杤灂䝁䅑党穂䍁䅁督㕂䝁䄴党祂䝁䅣兡穂䡁䅑兡橂䍁䅁督求䡁䅉杤灂䝁䅍党穂䍁䅷䅉灂䝁䄴睙獂䡁䅕䅚灂䝁䄴睚杁䝁䅅䅚㉂䝁䅫督療䡁䅉入杁䝁䅅杢歂䍁䅁睙療䝁䄴督ㅂ䝁䅷䅤灂䝁䄴睚杁䝁䅙睢橂䡁䅕督求䝁䅑䅉療䝁䄴䅉楂䡁䅉睢桂䝁䅑兌楂䝁䅅督求䝁䅑䅉求䝁䄴党祂䝁䅣入杁䡁䅑杣桂䝁䄴督灂䡁䅑兡療䝁䄴䅉桂䝁䄴䅚杁䝁䄴党あ䍁䄰来求䡁䅉睢杁䝁䅍兙祂䝁䅉睢畂䍁䅁党瑂䝁䅫督穂䝁䅫睢畂䍁䅁督療䝁䅷兤あ䝁䅫睢畂䡁䅍睏杁䝁䅧兡湂䝁䅧兌求䝁䄴䅚杁䝁䅕杢湂䝁䅫杢求䝁䅕杣灂䝁䄴睚獁䍁䅁䅚求䡁䅍兡湂䝁䄴䅉桂䝁䄴䅚杁䡁䅁杣療䝁䅣杣桂䝁䄰䅉瑂䝁䅅杢桂䝁䅣党瑂䝁䅕杢あ䍁䅁睙求䝁䄴䅤求䡁䅉党歂䍁䅁兙祂䝁䄸兤畂䝁䅑䅉歂䝁䅕睙桂䡁䅉杙療䝁䄴兡㙂䝁䅅䅤灂䝁䄸杢獁䍁䅁党畂䝁䅕杣湂䡁䅫䅉求䝁䅙杚灂䝁䅍兡求䝁䄴睙㕂䍁䅷䅉求䝁䄴杤灂䡁䅉睢畂䝁䄰党畂䡁䅑兙獂䍁䅁兡瑂䡁䅁兙橂䡁䅑䅉桂䝁䄴䅚杁䝁䅅督穂䝁䅕䅤杁䝁䄸䅣あ䝁䅫兢灂䡁䅯兙あ䝁䅫睢畂䑁䅳䅉桂䝁䄴䅚杁䝁䅑兡湂䝁䅫䅤桂䝁䅷䅢㕂䍁䄰党畂䝁䅅杙獂䝁䅕䅚杁䝁䄸䅣求䡁䅉兙あ䝁䅫杢湂䍁䅁兙畂䝁䅑䅉瑂䝁䄸杢灂䡁䅑睢祂䝁䅫杢湂䍁䅁督療䝁䅷兤あ䝁䅫睢畂䡁䅍杌杁䕁䅳村卂䍁䅷䅉䩂䝁䄴睙畁䍁䅁睤桂䡁䅍䅉浂䝁䄸兤畂䝁䅑党歂䍁䅁兡畂䍁䅁免㕁䑁䅁免杁䝁䅅杢歂䍁䅁兡穂䍁䅁䅡求䝁䅅䅚硂䡁䅕兙祂䡁䅑党祂䝁䅕䅚杁䝁䅫杢杁䕁䅧睢ㅂ䡁䅍䅤療䝁䄴䅌杁䙁䅑党㑂䝁䅅督畁䅁䅁杫䅁䍁䅧䅁䵂䍁䄴村畁䍁䅁杒療䡁䅍䅤求䡁䅉䅉䑂䝁䄸兢睂䝁䅅杢㕂䅁䅁其䅁䱁佑䅁䵂䍁䄴村畁䍁䅁杒療䡁䅍䅤求䡁䅉䅉䑂䝁䄸兢睂䝁䅅杢㕂䍁䅁䅣祂䝁䄸杤灂䝁䅑党穂䍁䅁党畂䝁䅣兡畂䝁䅕党祂䝁䅕䅚杁䝁䅅杢歂䍁䅁兢桂䝁䄴兤浂䝁䅅睙あ䡁䅕杣求䝁䅑䅉睂䡁䅉睢歂䡁䅕睙あ䡁䅍䅉桂䝁䄴䅚杁䡁䅍党祂䡁䅙兡橂䝁䅕督杁䝁䅙睢祂䍁䅁䅤潂䝁䅕䅉楂䡁䅕兡獂䝁䅑兡畂䝁䅣䅉桂䝁䄴䅚杁䝁䅫杢浂䡁䅉兙穂䡁䅑杣ㅂ䝁䅍䅤ㅂ䡁䅉党杁䡁䅁杣療䝁䅯党橂䡁䅑督杁䝁䅫杢杁䡁䅑䅡求䍁䅁兖畂䝁䅫䅤求䝁䅑䅉呂䡁䅑兙あ䝁䅕督獁䍁䅁睑桂䝁䄴兙歂䝁䅅䅌杁䡁䅑䅡求䍁䅁兖畂䝁䅫䅤求䝁䅑䅉䱂䝁䅫杢湂䝁䅑睢瑂䍁䅷䅉桂䝁䄴䅚杁䝁䅫杢あ䝁䅕杣畂䝁䅅䅤灂䝁䄸杢桂䝁䅷䅢㕂䍁䄴䅉䩂䡁䅑䅉療䡁䅁党祂䝁䅅䅤求䡁䅍䅉あ䝁䅧杣療䡁䅕睚潂䍁䅁䅤㍂䝁䄸䅉穂䝁䅕睚瑂䝁䅕杢あ䡁䅍杏杁䙁䅉兙灂䝁䅷䅌杁䙁䅑党橂䝁䅧杢療䝁䅷睢湂䝁䅫党穂䍁䅷䅉桂䝁䄴䅚杁䙁䅍党祂䡁䅙兡橂䝁䅕督㝁䍁䅁兙畂䝁䅑䅉䩂䝁䄴杚祂䝁䅅督あ䡁䅉兤橂䡁䅑兤祂䝁䅕䅉呂䝁䄸䅢ㅂ䡁䅑兡療䝁䄴督畁䍁䅁䅖潂䝁䅕䅉卂䝁䅅兡獂䍁䅷䅉啂䝁䅕睙潂䝁䄴睢獂䝁䄸睚灂䝁䅕督獁䍁䅁兙畂䝁䅑䅉呂䝁䅕杣㉂䝁䅫睙求䡁䅍䅉穂䝁䅕睚瑂䝁䅕杢あ䍁䅁睢浂䝁䅙党祂䡁䅍䅉畂䝁䅕睤杁䡁䅉兙灂䝁䅷䅉あ䝁䄸䅉睂䝁䅅督穂䝁䅕杢湂䝁䅕杣杁䝁䅅杢歂䍁䅁督潂䝁䄸杣あ䍁䅁䅢灂䝁䄴党杁䝁䅙杣求䝁䅫睚潂䡁䅑䅉祂䝁䅅兡獂䡁䅉睢桂䝁䅑督獁䍁䅁兡畂䝁䅑兤穂䡁䅑杣灂䝁䅅䅢杁䝁䅍睢瑂䡁䅁兙畂䝁䅫党穂䍁䅷䅉桂䝁䄴䅚杁䡁䅉兙灂䝁䅷䅉橂䝁䄸杢あ䡁䅉兙橂䡁䅑睢祂䡁䅍䅌杁䝁䅅督杁䡁䅣党獂䝁䅷䅉桂䡁䅍䅉ㅂ䡁䅍党歂䍁䅁杣桂䝁䅫䅢穂䑁䅳䅉祂䝁䅅兡獂䍁䅁兙橂䝁䅍党穂䡁䅍睢祂䝁䅫党穂䍁䅷䅉穂䡁䅕睙潂䍁䅁兙穂䍁䅁杣桂䝁䅍睡杁䡁䅍䅣灂䝁䅳党穂䍁䅷䅉楂䝁䄸䅢あ䡁䅍䅌杁䝁䅅杢湂䝁䅷党杁䝁䅉兙祂䡁䅍䅌杁䡁䅑兡求䍁䅁䅣獂䝁䅅䅤求䡁䅍䅌杁䝁䅅杢歂䍁䅁睢あ䝁䅧党祂䍁䅁䅣祂䝁䄸䅚ㅂ䝁䅍䅤穂䑁䅳䅉灂䝁䄴督ㅂ䝁䅷兙あ䝁䅕䅚杁䡁䅉兙灂䝁䅷䅉煂䝁䄸兡畂䡁䅑督杁䝁䅅杢歂䍁䅁杣求䝁䅷兙あ䝁䅕䅚杁䝁䅅睙橂䝁䅕督穂䝁䄸杣灂䝁䅕督㝁䍁䅁杚灂䡁䅧兙あ䝁䅫睢畂䍁䅁杚桂䡁䅍䅤求䝁䄴党祂䡁䅍䅌杁䝁䅍睢㉂䝁䅕杣楂䝁䄸兙祂䝁䅑督獁䍁䅁兙畂䝁䅑䅉穂䡁䅁党橂䝁䅫兙獂䍁䅁兙橂䝁䅍党穂䡁䅍睢祂䝁䅫党穂䑁䅳䅉桂䝁䄴䅚杁䡁䅑杣桂䝁䅍睡㍂䝁䄸杣牂䍁䅁䅣祂䝁䄸䅚ㅂ䝁䅍䅤穂䍁䄴䅉啂䝁䅧兡穂䍁䅁督求䝁䅣兢求䝁䄴䅤杁䝁䅅䅢穂䝁䄸䅉睂䡁䅉睢㉂䝁䅫䅚求䡁䅍䅉求䝁䄴睚灂䝁䄴党求䡁䅉党歂䍁䅁睙療䝁䄴睙祂䝁䅕䅤求䍁䅁杣桂䝁䅫䅢祂䝁䄸兙歂䍁䅁䅤灂䝁䅕督獁䍁䅁杚祂䝁䅫睙あ䝁䅫睢畂䍁䅁兢桂䝁䄴兙湂䝁䅕兢求䝁䄴䅤杁䡁䅁杣療䝁䅑兤橂䡁䅑督杁䝁䅅杢歂䍁䅁兙睂䡁䅁䅢灂䝁䅍兙あ䝁䅫睢畂䍁䅁督㕂䡁䅍䅤求䝁䄰督獁䍁䅁杣桂䝁䅫䅢祂䝁䄸兙歂䍁䅁睙療䝁䄴䅚灂䡁䅑兡療䝁䄴䅉瑂䝁䄸杢灂䡁䅑睢祂䝁䅫杢湂䍁䅁督㕂䡁䅍䅤求䝁䄰督杁䝁䅅杢歂䍁䅁党硂䡁䅕兡睂䝁䄰党畂䡁䅑䅉灂䝁䄴睙獂䡁䅕䅚灂䝁䄴睚杁䡁䅣䅡求䝁䅕䅢杁䝁䅫兢睂䝁䅅睙あ䍁䅁䅢療䝁䅅䅚杁䝁䅑党あ䝁䅕睙あ䝁䅫睢畂䍁䅁督㕂䡁䅍䅤求䝁䄰督獁䍁䅁睤桂䡁䅫督灂䝁䅑党杁䝁䅑兙あ䝁䅅䅉橂䝁䄸䅢獂䝁䅕睙あ䝁䅫睢畂䍁䅁兙畂䝁䅑䅉瑂䝁䅅杢桂䝁䅣党瑂䝁䅕杢あ䍁䅁督㕂䡁䅍䅤求䝁䄰督獁䍁䅁兙畂䝁䅑䅉祂䝁䄸睙牂䝁䅙兙獂䝁䅷䅌杁䝁䅙䅢療䝁䄸䅚獁䍁䅁党桂䡁䅉䅤潂䡁䅣睢祂䝁䅳督獁䍁䅁兙畂䝁䅑䅉楂䡁䅉兡歂䝁䅣党杁䡁䅍䅤祂䝁䅫睡求䍁䅁兢療䝁䄴兡あ䝁䄸杣灂䝁䄴睚㝁䍁䅁兙畂䝁䅑䅉桂䝁䅙䅤求䡁䅉兢桂䡁䅉睡求䡁䅑䅉穂䝁䅕杣㉂䝁䅫睙求䡁䅍杌杁䙁䅑䅡求䍁䅁兓畂䝁䅙杣桂䡁䅍䅤祂䡁䅕睙あ䡁䅕杣求䍁䅁睕療䝁䅷兤あ䝁䅫睢畂䡁䅍䅉穂䝁䅕睚瑂䝁䅕杢あ䍁䅁兢桂䝁䄴兤浂䝁䅅睙あ䡁䅕杣求䡁䅍䅉睂䡁䅉党橂䝁䅅督あ䍁䅁睙療䝁䄴睙祂䝁䅕䅤求䍁䅁䅣祂䝁䄸䅚ㅂ䝁䅍䅤穂䍁䅁杚療䡁䅉䅉ㅂ䡁䅍党杁䝁䅅督杁䡁䅉党穂䡁䅑杣療䝁䄸兢穂䍁䅷䅉橂䝁䄸杢橂䝁䅕督穂䝁䅫睢畂䍁䅁督あ䝁䅅杢歂䡁䅍䅌杁䝁䅅杢歂䍁䅁䅣祂䝁䄸䅤求䝁䅍䅤灂䡁䅙党杁䡁䅍䅤療䡁䅉兙湂䝁䅕䅉楂䡁䅕兡獂䝁䅑兡畂䝁䅣督杁䡁䅕杢歂䝁䅕杣杁䡁䅑䅡求䍁䅁睑奂䙁䅑䅉楂䡁䅉兙畂䝁䅑䅉浂䝁䄸杣杁䝁䄴兙あ䝁䅫睢畂䝁䅅䅢獁䍁䅁督あ䝁䅅䅤求䍁䅷䅉桂䝁䄴䅚杁䝁䄰兤畂䝁䅫睙灂䡁䅁兙獂䍁䅁䅣桂䡁䅉睡穂䑁䅳䅉桂䝁䄴䅚杁䝁䄰兙畂䡁䅕杚桂䝁䅍䅤ㅂ䡁䅉党穂䍁䅁督療䡁䅕杢歂䡁䅍䅉㍂䝁䅅䅢獂䡁䅍䅌杁䝁䅉杣灂䝁䅑睚求䍁䅁杙求䝁䅅兢穂䍁䅷䅉楂䝁䄸䅥杁䝁䅍兤獂䡁䅙党祂䡁䅑督獁䍁䅁督求䡁䅁䅤灂䝁䅍䅉あ䝁䅅杢牂䡁䅍䅌杁䝁䅅杢歂䍁䅁睢あ䝁䅧党祂䍁䅁睙ㅂ䡁䅍䅤療䝁䄰䅉睂䡁䅉党瑁䡁䅍䅤祂䝁䅕督穂䝁䅕䅚杁䝁䅅杢歂䍁䅁䅣祂䝁䅕睙桂䡁䅍䅤杁䝁䅍睢畂䝁䅍杣求䡁䅑党杁䡁䅁杣療䝁䅑兤橂䡁䅑督畁䍁䅁䅖潂䝁䅫督杁䡁䅍党湂䝁䄰党畂䡁䅑䅉桂䝁䅷督療䍁䅁䅣祂䝁䄸杤灂䝁䅑党穂䍁䅁督あ䝁䅕党獂䍁䅁杙祂䝁䅫䅚湂䝁䅕䅉睂䡁䅉睢歂䡁䅕睙あ䡁䅍睏杁䝁䅍睢祂䡁䅉睢穂䝁䅫睢畂䍁䅁䅣祂䝁䄸䅤求䝁䅍䅤灂䝁䄸杢杁䡁䅍睢獂䡁䅕䅤灂䝁䄸杢穂䑁䅳䅉橂䝁䄸杢橂䡁䅉党あ䝁䅕兌祂䝁䅕兡畂䝁䅙睢祂䝁䅍党歂䍁䅁督あ䝁䅕党獂䍁䅁睚祂䝁䅫䅚杁䝁䅑党橂䝁䅳兡畂䝁䅣䅌杁䝁䄸䅣求䝁䄴䅉穂䡁䅑党求䝁䅷䅉湂䡁䅉兡歂䍁䅁䅚求䝁䅍睡獁䍁䅁兙獂䡁䅕兢灂䝁䄴兤瑂䍁䅁杙祂䝁䅫䅚湂䝁䅕䅉祂䝁䅅兡獂䝁䅫杢湂䍁䅷䅉桂䝁䄴䅚杁䡁䅍䅤桂䡁䅫兌灂䝁䄴兌睂䝁䅷兙橂䝁䅕䅉穂䡁䅑党求䝁䅷䅉楂䡁䅉兡歂䝁䅣党杁䝁䅙睢祂䝁䄰督㝁䍁䅁睙ㅂ䡁䅑督獁䍁䅁䅤潂䡁䅉党桂䝁䅑督獁䍁䅁兙畂䝁䅑䅉睂䝁䅅兡畂䡁䅑督杁䡁䅁兡睂䝁䅕睏杁䡁䅑䅡祂䝁䅕兙歂䝁䅫杢湂䍁䅁督求䡁䅉杤灂䝁䅍党穂䍁䅁杚療䡁䅉䅉㍂䝁䅅䅤求䡁䅉䅉㍂䝁䅕䅢獂䍁䅁兙睂䡁䅁䅢灂䝁䅍兙あ䝁䅫睢畂䡁䅍睏杁䡁䅁杣療䡁䅑党橂䡁䅑兡㉂䝁䅕䅉睂䝁䅫䅣求䝁䅷兡畂䝁䅕䅉橂䝁䄸兙あ䝁䅫杢湂䍁䅁督求䡁䅉杤灂䝁䅍党穂䑁䅳䅉桂䝁䄴䅚杁䡁䅑兤祂䝁䄴睡求䡁䅫䅉穂䝁䄸䅢ㅂ䡁䅑兡療䝁䄴督杁䝁䅙睢祂䍁䅁兢求䡁䅑党祂䝁䅫杢湂䍁䅁兙畂䝁䅑䅉灂䝁䄴条求䝁䅍䅤灂䝁䄸杢杁䡁䅍入穂䡁䅑党瑂䡁䅍䅉浂䝁䄸杣杁䝁䄸兡獂䍁䅁兙畂䝁䅑䅉湂䝁䅅督杁䝁䄰兙祂䝁䅳党あ䡁䅍杌杁䕁䅷杌䍂䍁䄴䅉䝂䝁䄸督あ䝁䅕杣杁䕁䅍睢瑂䡁䅁兙畂䡁䅫䅉㍂䝁䅅督杁䝁䅙睢ㅂ䝁䄴䅚求䝁䅑䅉灂䝁䄴䅉硁䑁䅫䅍祁䍁䅁兙畂䝁䅑䅉灂䡁䅍䅉潂䝁䅕兙歂䡁䅅兤桂䡁䅉䅤求䡁䅉党歂䍁䅁兡畂䍁䅁䅕灂䡁䅑䅤穂䝁䅉兤祂䝁䅣䅡獁䍁䅁䅕求䝁䄴杢穂䡁䅫䅢㉂䝁䅅杢灂䝁䅅杌䅁䱁䅙䅁祁䅁䅁䅕療䝁䅷䅢桂䡁䅉䅚杁䕁䅉兙畂䝁䅳杢療䡁䅑党杁䕁䅷兡瑂䝁䅫䅤求䝁䅑䅁癄䅁䅁䅋䅁䕁䅷兡畂䝁䅅兢桂䡁䅉䅉䑂䝁䄸杣睂䝁䄸杣桂䡁䅑兡療䝁䄴䅁摁允䅁杪䅙䕁䅷兡畂䝁䅅兢桂䡁䅉䅉䑂䝁䄸杣睂䝁䄸杣桂䡁䅑兡療䝁䄴䅌杁䡁䅑睢湂䝁䅕䅤潂䝁䅕杣杁䡁䅣兡あ䝁䅧䅉灂䡁䅑督杁䡁䅍兤楂䡁䅍兡歂䝁䅫兙祂䝁䅫党穂䍁䅷䅉睂䡁䅉睢歂䡁䅕睙求䡁䅍䅉求䝁䄴睚灂䝁䄴党求䡁䅉党歂䍁䅁䅣祂䝁䄸䅚ㅂ䝁䅍䅤穂䍁䅁兡畂䍁䅁睑桂䝁䄴兙歂䝁䅅䅌杁䕁䅕兤祂䝁䄸䅣求䍁䅷䅉あ䝁䅧党杁䕁䅅督灂䝁䅅䅉兂䝁䅅睙灂䝁䅙兡橂䍁䅷䅉桂䝁䄴䅚杁䡁䅉党穂䡁䅑䅉療䝁䅙䅉佂䝁䄸杣あ䝁䅧䅉䉂䝁䄰党祂䝁䅫睙桂䍁䄴䅉䩂䡁䅑䅉療䡁䅁党祂䝁䅅䅤求䡁䅍䅉あ䝁䅧杣療䡁䅕睚潂䍁䅁䅤㍂䝁䄸䅉穂䝁䅕睚瑂䝁䅕杢あ䡁䅍䅌杁䕁䄰睢楂䝁䅫䅢灂䡁䅑入杁䝁䅅杢歂䍁䅁兓畂䝁䅑兤穂䡁䅑杣灂䝁䅅䅢畁䍁䅁䅖潂䝁䅕䅉乂䝁䄸杙灂䝁䅷兡あ䡁䅫䅉穂䝁䅕睚瑂䝁䅕杢あ䍁䅁杚療䝁䅍兤穂䝁䅕督杁䝁䄸杢杁䝁䅷兡湂䝁䅧䅤杁䝁䄰党あ䝁䅅䅢杁䝁䅍兙穂䡁䅑兡畂䝁䅣䅌杁䝁䅙睢祂䝁䅣兡畂䝁䅣䅌杁䝁䄰兙橂䝁䅧兡畂䝁䅫杢湂䍁䅷䅉桂䝁䄴䅚杁䝁䅅督穂䝁䅕兢楂䝁䅷入杁䝁䅙睢祂䍁䅁党獂䝁䅕睙あ䡁䅉兡浂䝁䅫党歂䍁䅁兙畂䝁䅑䅉睂䝁䄸睤求䡁䅉党歂䍁䅁杤求䝁䅧兡橂䝁䅷党杁䝁䄰兙祂䝁䅳党あ䡁䅍杌杁䕁䅫䅤杁䝁䅅䅢穂䝁䄸䅉浂䝁䄸睙ㅂ䡁䅍党穂䍁䅁睢畂䍁䅁睙療䝁䄰䅣療䝁䄴党畂䡁䅑督杁䝁䅅杢歂䍁䅁督㕂䡁䅍䅤求䝁䄰督杁䝁䅙睢祂䍁䅁睚獂䝁䄸杙桂䝁䅷䅉瑂䝁䄸杙灂䝁䅷兡あ䡁䅫䅉瑂䝁䅅杣牂䝁䅕䅤㝁䍁䅁兙畂䝁䅑䅉歂䝁䅕督灂䝁䅣杢獁䍁䅁䅚求䡁䅙党獂䝁䄸䅣瑂䝁䅕杢あ䍁䅷䅉桂䝁䄴䅚杁䡁䅑党穂䡁䅑兡畂䝁䅣䅉穂䝁䅕杣㉂䝁䅫睙求䡁䅍杌杁䙁䅑䅡求䍁䅁兓畂䝁䅑兤穂䡁䅑杣灂䝁䅅䅢杁䡁䅍党湂䝁䄰党畂䡁䅑䅉瑂䝁䅅杢ㅂ䝁䅙兙橂䡁䅑兤祂䝁䅕督杁䡁䅍睙灂䡁䅍督療䡁䅉䅌杁䝁䅉睢療䝁䄰䅌杁䝁䅅杢歂䍁䅁䅤求䝁䅷党潂䝁䅅杢歂䝁䅷党祂䍁䅁䅢灂䝁䅙䅤穂䍁䅁杚療䡁䅉䅉あ䝁䅧党杁䝁䅅党祂䝁䅫兙獂䍁䅁睤療䡁䅉睡杁䡁䅁䅢桂䡁䅑杚療䡁䅉兢杁䝁䅫杢歂䡁䅕督あ䡁䅉入畁䍁䅁䅖潂䝁䅫督杁䡁䅍党湂䝁䄰党畂䡁䅑䅉桂䝁䅷督療䍁䅁兢桂䝁䄴兤浂䝁䅅睙あ䡁䅕杣求䡁䅍䅉歂䡁䅉兙睂䝁䅕杣杁䝁䅧党桂䝁䅑党祂䡁䅍䅉桂䝁䄴䅚杁䡁䅍党獂䝁䅙兌睂䡁䅉睢睂䝁䅕䅢獂䝁䅕䅚杁䡁䅣兡畂䝁䅑杣療䡁䅣党祂䡁䅍䅉浂䝁䄸杣杁䡁䅑䅡求䍁䅁兙湂䡁䅉兡橂䡁䅕䅢あ䡁䅕杣桂䝁䅷䅉潂䝁䅅杣㉂䝁䅕督あ䝁䅫杢湂䍁䅁兡畂䝁䅑兤穂䡁䅑杣㕂䍁䅷䅉桂䡁䅍䅉㍂䝁䅕䅢獂䍁䅁兙穂䍁䅁督ㅂ䡁䅁䅣獂䝁䅫党穂䍁䅁杚桂䡁䅉兢杁䡁䅑兡獂䝁䅷兙湂䝁䅕䅉桂䝁䄴䅚杁䝁䅍杣療䡁䅁䅉浂䝁䅕杣あ䝁䅫䅢灂䡁䅯党祂䍁䅁兙睂䡁䅁䅢灂䝁䅍兙あ䝁䅫睢畂䍁䅁党硂䡁䅕兡睂䝁䄰党畂䡁䅑杌杁䕁䅷兡畂䝁䅅兢桂䡁䅉䅉䑂䝁䄸杣睂䝁䄸杣桂䡁䅑兡療䝁䄴䅉㍂䝁䅅督杁䝁䅙睢ㅂ䝁䄴䅚求䝁䅑䅉灂䝁䄴䅉硁䑁䅫李ぁ䍁䅁兙畂䝁䅑䅉灂䡁䅍䅉潂䝁䅕兙歂䡁䅅兤桂䡁䅉䅤求䡁䅉党歂䍁䅁兡畂䍁䅁睒ㅂ䝁䅕䅢睂䝁䅧䅌杁䕁䅍兙畂䝁䅅䅚桂䍁䄴䅁噁允䅁䅇䅁䕁䄴兑呂䕁䅑兑剂䑁䅯睑呂䕁䅫兕䅁䅁䉙䅁潁䅁䅁䅔灂䝁䄴䅚穂䝁䅅入杁䕁䅍睢祂䡁䅁睢祂䝁䅅䅤灂䝁䄸杢䅁䵁䅅䅁浂杄䅁䅔灂䝁䄴䅚穂䝁䅅入杁䕁䅍睢祂䡁䅁睢祂䝁䅅䅤灂䝁䄸杢獁䍁䅁䅤療䝁䅣党あ䝁䅧党祂䍁䅁睤灂䡁䅑䅡杁䝁䅫䅤穂䍁䅁督ㅂ䝁䅉督灂䝁䅑兡桂䡁䅉兡求䡁䅍䅌杁䡁䅁杣療䡁䅙兡歂䝁䅕督杁䡁䅣兙あ䝁䅕杣杁䝁䄰兙畂䝁䅅睚求䝁䄰党畂䡁䅑䅉桂䝁䄴䅚杁䡁䅉睢桂䝁䅑䅉灂䝁䄴杚祂䝁䅅督あ䡁䅉兤橂䡁䅑兤祂䝁䅕䅉睂䡁䅉睢歂䡁䅕睙あ䡁䅍䅉桂䝁䄴䅚杁䡁䅍党祂䡁䅙兡橂䝁䅕督杁䝁䅫杢杁䡁䅑䅡求䍁䅁兖畂䝁䅫䅤求䝁䅑䅉呂䡁䅑兙あ䝁䅕督杁䝁䅅杢歂䍁䅁兡畂䡁䅑党祂䝁䄴兙あ䝁䅫睢畂䝁䅅䅢獂䡁䅫杌杁䕁䅫䅤杁䝁䄸䅣求䡁䅉兙あ䝁䅕督杁䝁䅫杢杁䡁䅑睤療䍁䅁督求䝁䅣兢求䝁䄴䅤穂䍁䅷䅉䩂䡁䅉杣灂䝁䅣兙あ䝁䅫睢畂䍁䅁兙畂䝁䅑䅉䩂䝁䄴杚祂䝁䅅督あ䡁䅉兤橂䡁䅑兤祂䝁䅕杌杁䙁䅑䅡求䍁䅁兓祂䡁䅉兡湂䝁䅅䅤灂䝁䄸杢杁䡁䅍党湂䝁䄰党畂䡁䅑䅉瑂䝁䅅杢ㅂ䝁䅙兙橂䡁䅑兤祂䝁䅕督杁䝁䅅杢歂䍁䅁兢桂䡁䅉睡求䡁䅑督杁䝁䅍党畂䡁䅑党祂䍁䅁䅣灂䡁䅙睢あ䍁䅷䅉獂䝁䅅䅤求䡁䅉兙獂䍁䅁兢療䡁䅙党杁䝁䅫杣祂䝁䅫睚桂䡁䅑兡療䝁䄴䅉穂䡁䅫督あ䝁䅕兢穂䍁䅷䅉桂䝁䄴䅚杁䝁䅫杣祂䝁䅫睚桂䡁䅑兡療䝁䄴䅉橂䝁䄸杢あ䡁䅉睢獂䡁䅍䅉ㅂ䝁䄴䅚求䡁䅉䅉あ䝁䅧党杁䙁䅯兡瑂䝁䄰兙あ䝁䅫睙杁䝁䅉杣桂䝁䄴䅚㝁䍁䅁䅡療䡁䅍党杁䡁䅉党求䝁䅷䅉あ䡁䅉兙㉂䝁䅕䅢求䡁䅉督杁䡁䅕杢歂䝁䅕杣杁䡁䅑䅡求䍁䅁䅕求䡁䅉杣療䡁䅑䅉楂䡁䅉兙畂䝁䅑睏杁䝁䅅杢歂䍁䅁睙潂䝁䅕兢灂䝁䅍兙獂䍁䅁兡畂䝁䅯党橂䡁䅑兡療䝁䄴䅉穂䡁䅫督あ䝁䅕兢穂䍁䅷䅉㉂䝁䅅杣灂䝁䅅杙獂䝁䅕䅉祂䝁䅅䅤求䍁䅁兡祂䡁䅉兡湂䝁䅅䅤灂䝁䄸杢杁䡁䅍入穂䡁䅑党瑂䡁䅍䅌杁䝁䅙䅢療䡁䅣䅉瑂䝁䅕䅤求䡁䅉督獁䍁䅁睤求䝁䅅䅤潂䝁䅕杣杁䡁䅍䅤桂䡁䅑兡療䝁䄴督獁䍁䅁督療䝁䅫䅢杁䝁䄰睢灂䡁䅍䅤ㅂ䡁䅉党杁䡁䅍党畂䡁䅍睢祂䡁䅍䅌杁䝁䅅杢歂䍁䅁杣求䝁䄰睢あ䝁䅕䅉瑂䝁䄸杢灂䡁䅑睢祂䝁䅫杢湂䍁䅁兙畂䝁䅑䅉橂䝁䄸杢あ䡁䅉睢獂䍁䅁督㕂䡁䅍䅤求䝁䄰督畁䍁䅁兓あ䍁䅁兙獂䡁䅍睢杁䝁䄸杚浂䝁䅕杣穂䍁䅁杣求䡁䅁兙灂䡁䅉䅉桂䝁䄴䅚杁䡁䅉党睂䝁䅷兙橂䝁䅕兢求䝁䄴䅤杁䡁䅁兙祂䡁䅑督杁䝁䅙睢祂䍁䅁兡あ䡁䅍䅉灂䡁䅉杣灂䝁䅣兙あ䝁䅫睢畂䍁䅁督㕂䡁䅍䅤求䝁䄰督杁䝁䅅杢歂䍁䅁睙療䝁䄴䅤祂䝁䄸䅢穂䍁䅷䅉桂䝁䄴䅚杁䝁䅑兡桂䝁䄰党あ䝁䅕杣杁䡁䅍䅤求䝁䅕䅢杁䡁䅑兤楂䝁䅫杢湂䑁䅳䅉湂䝁䅷睢楂䝁䅅䅢杁䡁䅁睢穂䝁䅫䅤灂䝁䄸杢灂䝁䄴睚杁䡁䅍入穂䡁䅑党瑂䍁䅁䅣療䡁䅍兡あ䝁䅫睢畂䝁䅫杢湂䍁䅁兙畂䝁䅑䅉湂䡁䅕兡歂䝁䅅杢橂䝁䅕䅌杁䡁䅙兙祂䝁䅫兙楂䝁䅷党杁䡁䅉兙あ䝁䅕䅉灂䡁䅉杣灂䝁䅣兙あ䝁䅫睢畂䍁䅷䅉㍂䝁䅫杣求䝁䅷党穂䡁䅍䅉灂䡁䅉杣灂䝁䅣兙あ䝁䅫睢畂䍁䅁兢桂䝁䄴兙湂䝁䅕兢求䝁䄴䅤獁䍁䅁兙畂䝁䅑䅉灂䡁䅉杣灂䝁䅣兙あ䝁䅫睢畂䍁䅁督橂䝁䅧党歂䡁䅕䅢灂䝁䄴睚杁䡁䅑党橂䝁䅧杢療䝁䅷睢湂䡁䅫䅉穂䝁䄸䅢ㅂ䡁䅑兡療䝁䄴督㝁䍁䅁兙畂䝁䅑䅉灂䝁䄴䅚ㅂ䡁䅍䅤祂䝁䅫兙獂䍁䅁兓畂䡁䅑党祂䝁䄴党あ䍁䅁睢浂䍁䅁䅖潂䝁䅫杢湂䡁䅍䅉あ䝁䅕睙潂䝁䄴睢獂䝁䄸睚㕂䍁䅁督療䝁䅷兤あ䝁䅫睢畂䡁䅍䅌杁䝁䅑兙あ䝁䅅䅉桂䝁䅍兣ㅂ䝁䅫督灂䡁䅑兡療䝁䄴䅉桂䝁䄴䅚杁䝁䄰兙畂䝁䅅睚求䝁䄰党畂䡁䅑䅉穂䡁䅫督あ䝁䅕兢穂䍁䅷䅉桂䝁䄴䅚杁䝁䅍兤穂䡁䅑睢瑂䍁䅁党獂䝁䅕睙あ䡁䅉睢畂䝁䅫睙杁䝁䅕兣ㅂ䝁䅫䅣瑂䝁䅕杢あ䍁䅁杚療䡁䅉䅉桂䡁䅁䅣獂䝁䅫睙桂䡁䅑兡療䝁䄴督杁䡁䅕杢歂䝁䅕杣杁䡁䅑䅡求䍁䅁兒獂䝁䅕睙穂䡁䅫督杁䝁䅉杣桂䝁䄴䅚畁䍁䅁䅖潂䝁䅕䅉䩂䝁䄴杚祂䝁䅅督あ䡁䅉兤橂䡁䅑兤祂䝁䅕䅉穂䝁䅕睚瑂䝁䅕杢あ䍁䅁䅣祂䝁䄸杤灂䝁䅑党穂䍁䅁杕療䝁䅅䅚杁䙁䅯兡睂䡁䅁党祂䍁䅁睕㕂䡁䅍䅤求䝁䄰䅉橂䝁䄸兢睂䡁䅉兡穂䝁䅕䅚杁䝁䄸杚杁䙁䅑兌穂䝁䅧兙睂䝁䅕䅚杁䝁䅍睢畂䝁䅍杣求䡁䅑党杁䝁䅅杢歂䍁䅁督あ䝁䅕党獂䍁䅁杙桂䡁䅉杣灂䝁䅕杣穂䍁䅷䅉楂䝁䅅杣祂䝁䅫党祂䍁䅁䅤祂䝁䅅杢穂䝁䅙党祂䍁䅁兢桂䝁䅍䅡灂䝁䄴党獁䍁䅁兙畂䝁䅑䅉㉂䝁䅅杣灂䝁䅅杙獂䝁䅕䅉獂䝁䅕杢湂䡁䅑䅡杁䝁䅉兙祂䡁䅉兡求䡁䅉督獁䍁䅁睤潂䝁䅫睙潂䍁䅁兙祂䝁䅕䅉ㅂ䡁䅍党歂䍁䅁杚療䡁䅉䅉潂䝁䅫睚潂䡁䅣兙㕂䍁䅁杣求䝁䅍睢畂䡁䅍䅤祂䡁䅕睙あ䝁䅫睢畂䍁䅷䅉睂䝁䅅杤灂䝁䄴睚杁䝁䅅杢歂䍁䅁杣求䡁䅍兤祂䝁䅙兙橂䝁䅫杢湂䍁䅷䅉祂䝁䄸兙歂䍁䅁睤灂䝁䅑党畂䝁䅫杢湂䍁䅷䅉瑂䝁䅕䅚灂䝁䅅杢杁䝁䅅杢歂䍁䅁督潂䝁䄸兤獂䝁䅑党祂䍁䅁睙療䝁䄴督あ䡁䅉兤橂䡁䅑兡療䝁䄴䅌杁䝁䅅杢歂䍁䅁杣求䡁䅁兙灂䡁䅉督杁䡁䅑睢杁䡁䅑兤畂䝁䄴党獂䡁䅍䅉桂䝁䄴䅚杁䝁䅉杣灂䝁䅑睚求䡁䅍杌杁䙁䅑䅡灂䡁䅍䅉穂䝁䅕睚瑂䝁䅕杢あ䍁䅁兙獂䡁䅍睢杁䝁䄸杚浂䝁䅕杣穂䍁䅁杣求䝁䅑兡祂䝁䅕睙あ䝁䅫杤求䍁䅁兙畂䝁䅑䅉畂䝁䄸杢瑁䡁䅉党歂䝁䅫杣求䝁䅍䅤灂䡁䅙党杁䝁䅍杣桂䡁䅍䅡杁䝁䅍兤穂䝁䅧兡療䝁䄴督杁䡁䅑睢杁䝁䅕杢潂䝁䅅杢橂䝁䅕䅉潂䝁䅫睚潂䡁䅣兙㕂䍁䅁督桂䝁䅙党あ䡁䅫䅉桂䡁䅑䅉獂䝁䄸睙桂䡁䅑兡療䝁䄴督杁䡁䅍兤橂䝁䅧䅉桂䡁䅍䅉あ䝁䄸䅢獂䍁䅁杙療䝁䄸䅤潂䡁䅍䅌杁䝁䅙杣求䝁䅕睤桂䡁䅫䅉療䝁䅙杚瑁䡁䅉兙瑂䡁䅁督獁䍁䅁兢求䝁䅑兡桂䝁䄴督杁䝁䅅杢歂䍁䅁杣療䝁䅅䅚穂䝁䅫䅚求䍁䅁杙桂䡁䅉杣灂䝁䅕杣杁䝁䅕杢歂䡁䅍䅌杁䝁䅉杣灂䝁䅑睚求䍁䅁督ㅂ䡁䅁䅣療䡁䅉䅤穂䍁䅷䅉ㅂ䡁䅑兡獂䝁䅫䅤㕂䍁䅁䅣療䝁䅷党穂䍁䅷䅉桂䝁䄴䅚杁䝁䄸䅤潂䝁䅕杣杁䝁䅙兡㑂䝁䅕䅚杁䡁䅉睢桂䝁䅑睤桂䡁䅫䅉潂䝁䅅来桂䡁䅉䅚穂䑁䅳䅉穂䡁䅁党橂䝁䅫兙獂䡁䅑入杁䝁䅉兙祂䡁䅉兡求䡁䅉督㝁䍁䅁䅣祂䝁䅕杚療䡁䅉兢求䝁䅑䅉あ䝁䅅䅣求䍁䅁兙畂䝁䅑䅉祂䝁䄸兙歂䍁䅁督桂䝁䅙党あ䡁䅫䅉桂䝁䅍睙求䡁䅍督療䡁䅉入杁䡁䅁杣療䝁䅑兤橂䡁䅑督獁䍁䅁兙穂䍁䅁睤求䝁䅷䅢杁䝁䅅督杁䡁䅉兙灂䝁䅷䅉睂䡁䅉睢歂䡁䅕睙あ䡁䅍䅌杁䡁䅍兤橂䝁䅧䅉桂䡁䅍䅉穂䝁䅫睚畂䝁䅅䅢穂䍁䅁兙畂䝁䅑䅉獂䝁䅫睚潂䡁䅑督獁䍁䅁督あ䡁䅉兤橂䡁䅑兤祂䝁䅕督獁䍁䅁杚療䡁䅕杢歂䝁䅅䅤灂䝁䄸杢穂䍁䅷䅉煂䡁䅕杢橂䡁䅑兡療䝁䄴䅉楂䝁䄸䅥求䡁䅍䅌杁䝁䅅杢歂䍁䅁督灂䝁䅣杢穂䍁䄴䅉䵂䝁䅫杢歂䡁䅍兙㕂䍁䅁睑療䡁䅉䅣療䡁䅉兙あ䝁䅫睢畂䍁䅁睤桂䡁䅍䅉浂䝁䄸兤畂䝁䅑党歂䍁䅁兡畂䍁䅁免㕁䑁䅕兎杁䝁䅅杢歂䍁䅁兡穂䍁䅁䅡求䝁䅅䅚硂䡁䅕兙祂䡁䅑党祂䝁䅕䅚杁䝁䅫杢杁䕁䄸兢桂䝁䅧兙獁䍁䅁杔求䝁䅉杣桂䡁䅍睡桂䍁䄴䅁䍄䅁䅁䅤䄴䕁䅷兡畂䝁䅑督桂䡁䅫䅉䑂䝁䄸杣睂䝁䄸杣桂䡁䅑兡療䝁䄴䅌杁䡁䅑睢湂䝁䅕䅤潂䝁䅕杣杁䡁䅣兡あ䝁䅧䅉灂䡁䅑督杁䡁䅍兤楂䡁䅍兡歂䝁䅫兙祂䝁䅫党穂䍁䅷䅉睂䡁䅉睢㉂䝁䅫䅚求䡁䅍䅉㍂䝁䅅䅤求䡁䅉䅉瑂䝁䅅杢桂䝁䅣党瑂䝁䅕杢あ䍁䅁兙畂䝁䅑䅉祂䝁䄸兙歂䍁䅁兡畂䝁䅙杣桂䡁䅍䅤祂䡁䅕睙あ䡁䅕杣求䍁䅁䅣祂䝁䄸䅚ㅂ䝁䅍䅤穂䍁䅁兙畂䝁䅑䅉穂䝁䅕杣㉂䝁䅫睙求䡁䅍䅉灂䝁䄴䅉あ䝁䅧党杁䙁䅕杢灂䡁䅑党歂䍁䅁睕あ䝁䅅䅤求䡁䅍䅉桂䝁䄴䅚杁䝁䅫杢あ䝁䅕杣畂䝁䅅䅤灂䝁䄸杢桂䝁䅷䅢㕂䍁䄴䅉䩂䡁䅑䅉療䡁䅁党祂䝁䅅䅤求䡁䅍䅉灂䝁䄴䅉あ䡁䅣睢杁䡁䅍党湂䝁䄰党畂䡁䅑督獁䍁䅁兓祂䡁䅉兡湂䝁䅅䅤灂䝁䄸杢杁䝁䅅杢歂䍁䅁兓畂䝁䅙杣桂䡁䅍䅤祂䡁䅕睙あ䡁䅕杣求䍁䄴䅉啂䝁䅧党杁䕁䅫杣祂䝁䅫睚桂䡁䅑兡療䝁䄴䅉穂䝁䅕睚瑂䝁䅕杢あ䍁䅁兢桂䝁䄴兤浂䝁䅅睙あ䡁䅕杣求䡁䅍䅉桂䝁䄴䅚杁䝁䄰兙祂䝁䅳党あ䡁䅍䅉橂䝁䅕杢あ䝁䅕杣杁䡁䅁兡㉂䝁䄸䅤獁䍁䅁䅢桂䡁䅑党祂䝁䅅䅢杁䝁䄰睢㉂䝁䅕䅉灂䡁䅉杣灂䝁䅣兙あ䝁䅫睢畂䍁䅁督㕂䡁䅍䅤求䝁䄰督獁䍁䅁兙畂䝁䅑䅉灂䡁䅉杣灂䝁䅣兙あ䝁䅫睢畂䍁䅁睙療䝁䄴䅤祂䝁䄸䅢穂䍁䅁兤畂䝁䅑党祂䍁䅁䅤潂䝁䅕䅉慂䝁䅫兢瑂䝁䅅䅤灂䝁䅍䅉楂䡁䅉兙畂䝁䅑睏杁䝁䅧睢穂䝁䅕䅉祂䝁䅕党獂䍁䅁䅤祂䝁䅅杤求䝁䅷党祂䡁䅍䅉ㅂ䝁䄴䅚求䡁䅉䅉あ䝁䅧党杁䙁䅁党祂䡁䅉睢あ䍁䅁杙祂䝁䅅杢歂䑁䅳䅉桂䝁䄴䅚杁䝁䅍䅡求䝁䄰兡橂䝁䅅䅢杁䝁䅫杢煂䝁䅕睙あ䝁䅫睢畂䍁䅁督㕂䡁䅍䅤求䝁䄰督獁䍁䅁杤桂䡁䅉兡桂䝁䅉䅢求䍁䅁杣桂䡁䅑党杁䝁䅫杣祂䝁䅫睚桂䡁䅑兡療䝁䄴䅉穂䡁䅫督あ䝁䅕兢穂䍁䅷䅉浂䝁䅷睢㍂䍁䅁兢求䡁䅑党祂䡁䅍䅌杁䡁䅣党桂䡁䅑䅡求䡁䅉䅉穂䡁䅑兙あ䝁䅫睢畂䡁䅍䅌杁䡁䅍睢灂䝁䅷䅉瑂䝁䄸兡穂䡁䅑兤祂䝁䅕䅉穂䝁䅕杢穂䝁䄸杣穂䍁䅷䅉桂䝁䄴䅚杁䡁䅉党瑂䝁䄸䅤求䍁䅁兢療䝁䄴兡あ䝁䄸杣灂䝁䄴睚杁䝁䅅杢歂䍁䅁睙療䝁䄴䅤祂䝁䄸䅢杁䡁䅍入穂䡁䅑党瑂䡁䅍杌杁䕁䅫䅤杁䝁䅅䅢穂䝁䄸䅉療䝁䅙杚求䡁䅉督杁䡁䅉党睂䝁䅅兡祂䍁䅁兙畂䝁䅑䅉祂䝁䅕䅣獂䝁䅅睙求䝁䄰党畂䡁䅑䅉睂䝁䅅杣あ䡁䅍䅉浂䝁䄸杣杁䝁䅫䅤穂䍁䅁兡祂䡁䅉兡湂䝁䅅䅤灂䝁䄸杢杁䡁䅍入穂䡁䅑党瑂䡁䅍䅉桂䝁䄴䅚杁䝁䅍睢畂䡁䅑杣療䝁䅷督獁䍁䅁兙畂䝁䅑䅉歂䝁䅫兙瑂䝁䅕䅤求䡁䅉䅉穂䡁䅑党求䝁䅷䅉あ䡁䅕杙灂䝁䄴睚㝁䍁䅁睚獂䝁䄸杙桂䝁䅷䅉睂䝁䄸督灂䡁䅑兡療䝁䄴兡畂䝁䅣䅉穂䡁䅫督あ䝁䅕兢杁䡁䅁睢穂䝁䅫䅤灂䝁䄸杢灂䝁䄴睚杁䝁䅅杢歂䍁䅁睚ㅂ䝁䅫䅚桂䝁䄴睙求䍁䅷䅉㉂䝁䅅杣灂䝁䅅杙獂䝁䅕䅉祂䝁䅅䅤求䍁䅁兡祂䡁䅉兡湂䝁䅅䅤灂䝁䄸杢獁䍁䅁睤灂䡁䅉党獂䝁䅕督穂䍁䅁兡祂䡁䅉兡湂䝁䅅䅤灂䝁䄸杢杁䝁䄰兙畂䝁䅅睚求䝁䄰党畂䡁䅑䅌杁䝁䅫杣祂䝁䅫睚桂䡁䅑兡療䝁䄴䅉穂䝁䅍䅡求䝁䅑兤獂䝁䅫杢湂䍁䅷䅉桂䝁䄴䅚杁䡁䅍兢桂䡁䅉䅤睂䝁䅧睢畂䝁䅕䅉桂䡁䅁䅣獂䝁䅫睙桂䡁䅑兡療䝁䄴督㝁䍁䅁兙畂䝁䅑䅉灂䝁䄴䅚ㅂ䡁䅍䅤祂䝁䅫兙獂䍁䅁兓畂䡁䅑党祂䝁䄴党あ䍁䅁睢浂䍁䅁䅖潂䝁䅫杢湂䡁䅍䅉あ䝁䅕睙潂䝁䄴睢獂䝁䄸睚㕂䍁䅁督療䝁䅷兤あ䝁䅫睢畂䡁䅍䅌杁䝁䅑兙あ䝁䅅䅉桂䝁䅍兣ㅂ䝁䅫督灂䡁䅑兡療䝁䄴䅉桂䝁䄴䅚杁䝁䄰兙畂䝁䅅睚求䝁䄰党畂䡁䅑䅉穂䡁䅫督あ䝁䅕兢穂䍁䅷䅉桂䝁䄴䅚杁䝁䅍兤穂䡁䅑睢瑂䍁䅁党獂䝁䅕睙あ䡁䅉睢畂䝁䅫睙杁䝁䅕兣ㅂ䝁䅫䅣瑂䝁䅕杢あ䍁䅁杚療䡁䅉䅉桂䡁䅁䅣獂䝁䅫睙桂䡁䅑兡療䝁䄴督杁䡁䅕杢歂䝁䅕杣杁䡁䅑䅡求䍁䅁兒獂䝁䅕睙穂䡁䅫督杁䝁䅉杣桂䝁䄴䅚畁䍁䅁䅖潂䝁䅕䅉䩂䝁䄴杚祂䝁䅅督あ䡁䅉兤橂䡁䅑兤祂䝁䅕䅉穂䝁䅕睚瑂䝁䅕杢あ䍁䅁䅣祂䝁䄸杤灂䝁䅑党穂䍁䅁杕療䝁䅅䅚杁䙁䅯兡睂䡁䅁党祂䍁䅁睕㕂䡁䅍䅤求䝁䄰䅉橂䝁䄸兢睂䡁䅉兡穂䝁䅕䅚杁䝁䄸杚杁䙁䅑兌穂䝁䅧兙睂䝁䅕䅚杁䝁䅍睢畂䝁䅍杣求䡁䅑党杁䝁䅅杢歂䍁䅁督あ䝁䅕党獂䍁䅁杙桂䡁䅉杣灂䝁䅕杣穂䍁䅷䅉楂䝁䅅杣祂䝁䅫党祂䍁䅁䅤祂䝁䅅杢穂䝁䅙党祂䍁䅁兢桂䝁䅍䅡灂䝁䄴党獁䍁䅁兙畂䝁䅑䅉㉂䝁䅅杣灂䝁䅅杙獂䝁䅕䅉獂䝁䅕杢湂䡁䅑䅡杁䝁䅉兙祂䡁䅉兡求䡁䅉督杁䡁䅣䅡灂䝁䅍䅡杁䝁䅅杣求䍁䅁兤穂䝁䅕䅚杁䝁䅙睢祂䍁䅁䅡灂䝁䅣䅡㍂䝁䅅入杁䡁䅉党橂䝁䄸杢穂䡁䅑杣ㅂ䝁䅍䅤灂䝁䄸杢獁䍁䅁䅣桂䡁䅙兡畂䝁䅣䅉桂䝁䄴䅚杁䡁䅉党穂䡁䅕杣浂䝁䅅睙灂䝁䄴睚獁䍁䅁杣療䝁䅅䅚杁䡁䅣兡歂䝁䅕杢灂䝁䄴睚獁䍁䅁兢求䝁䅑兡桂䝁䄴䅉桂䝁䄴䅚杁䡁䅍䅡療䡁䅕䅢歂䝁䅕杣杁䝁䅍睢畂䡁䅍䅤祂䡁䅕睙あ䝁䅫睢畂䍁䅷䅉桂䝁䄴䅚杁䡁䅉党睂䝁䅅兡祂䡁䅍䅉あ䝁䄸䅉あ䡁䅕杢畂䝁䅕䅢穂䍁䅁兙畂䝁䅑䅉楂䡁䅉兡歂䝁䅣党穂䍁䄴䅉䉂䝁䅑䅚灂䡁䅑兡療䝁䄴兙獂䝁䅷入獁䍁䅁兡あ䍁䅁兙獂䡁䅍睢杁䝁䄸杚浂䝁䅕杣穂䍁䅁杣求䝁䅑兡祂䝁䅕睙あ䝁䅫杤求䍁䅁兙畂䝁䅑䅉畂䝁䄸杢瑁䡁䅉党歂䝁䅫杣求䝁䅍䅤灂䡁䅙党杁䝁䅍杣桂䡁䅍䅡杁䝁䅍兤穂䝁䅧兡療䝁䄴督杁䡁䅑睢杁䝁䅕杢潂䝁䅅杢橂䝁䅕䅉潂䝁䅫睚潂䡁䅣兙㕂䍁䅁督桂䝁䅙党あ䡁䅫䅉桂䡁䅑䅉獂䝁䄸睙桂䡁䅑兡療䝁䄴督杁䡁䅍兤橂䝁䅧䅉桂䡁䅍䅉あ䝁䄸䅢獂䍁䅁杙療䝁䄸䅤潂䡁䅍䅌杁䝁䅙杣求䝁䅕睤桂䡁䅫䅉療䝁䅙杚瑁䡁䅉兙瑂䡁䅁督獁䍁䅁兢求䝁䅑兡桂䝁䄴督杁䝁䅅杢歂䍁䅁杣療䝁䅅䅚穂䝁䅫䅚求䍁䅁杙桂䡁䅉杣灂䝁䅕杣杁䝁䅕杢歂䡁䅍䅌杁䝁䅉杣灂䝁䅑睚求䍁䅁督ㅂ䡁䅁䅣療䡁䅉䅤穂䍁䅷䅉ㅂ䡁䅑兡獂䝁䅫䅤㕂䍁䅁䅣療䝁䅷党穂䍁䅷䅉桂䝁䄴䅚杁䝁䄸䅤潂䝁䅕杣杁䝁䅙兡㑂䝁䅕䅚杁䡁䅉睢桂䝁䅑睤桂䡁䅫䅉潂䝁䅅来桂䡁䅉䅚穂䑁䅳䅉穂䡁䅁党橂䝁䅫兙獂䡁䅑入杁䝁䅉兙祂䡁䅉兡求䡁䅉督㝁䍁䅁䅣祂䝁䅕杚療䡁䅉兢求䝁䅑䅉あ䝁䅅䅣求䍁䅁兙畂䝁䅑䅉祂䝁䄸兙歂䍁䅁督桂䝁䅙党あ䡁䅫䅉桂䝁䅍睙求䡁䅍督療䡁䅉入杁䡁䅁杣療䝁䅑兤橂䡁䅑督獁䍁䅁兙穂䍁䅁睤求䝁䅷䅢杁䝁䅅督杁䡁䅉兙灂䝁䅷䅉睂䡁䅉睢歂䡁䅕睙あ䡁䅍䅌杁䡁䅍兤橂䝁䅧䅉桂䡁䅍䅉穂䝁䅫睚畂䝁䅅䅢穂䍁䅁兙畂䝁䅑䅉獂䝁䅫睚潂䡁䅑督獁䍁䅁督あ䡁䅉兤橂䡁䅑兤祂䝁䅕督獁䍁䅁杚療䡁䅕杢歂䝁䅅䅤灂䝁䄸杢穂䍁䅷䅉煂䡁䅕杢橂䡁䅑兡療䝁䄴䅉楂䝁䄸䅥求䡁䅍䅌杁䝁䅅杢歂䍁䅁督灂䝁䅣杢穂䍁䄴䅉䵂䝁䅫杢歂䡁䅍兙㕂䍁䅁睑療䡁䅉䅣療䡁䅉兙あ䝁䅫睢畂䍁䅁睤桂䡁䅍䅉浂䝁䄸兤畂䝁䅑党歂䍁䅁兡畂䍁䅁免㕁䑁䅕兎杁䝁䅅杢歂䍁䅁兡穂䍁䅁䅡求䝁䅅䅚硂䡁䅕兙祂䡁䅑党祂䝁䅕䅚杁䝁䅫杢杁䕁䄸兢桂䝁䅧兙獁䍁䅁杔求䝁䅉杣桂䡁䅍睡桂䍁䄴䅁㝃䅁䅁杈䅁䕁䄰䅒䉂䍁䅁睕睂䝁䅅睙求䍁䅁䅔あ䝁䅑杌䅁乁䅳䅁十兄䅁兔䕂䕁䅅䅉呂䡁䅁兙橂䝁䅕䅉䵂䡁䅑䅚畁䍁䅁䅚求䡁䅍兡湂䝁䄴督獁䍁䅁兢桂䝁䄴兤浂䝁䅅睙あ䡁䅕杣求䡁䅍䅌杁䝁䅅杢歂䍁䅁督求䡁䅉杤灂䝁䅍党穂䍁䅁督睂䝁䅅睙求䍁䅁杣療䝁䅉睢あ䝁䅫睙穂䍁䅷䅉穂䝁䅅䅤求䝁䅷䅢灂䡁䅑党杁䡁䅍入穂䡁䅑党瑂䡁䅍䅉桂䝁䄴䅚杁䝁䅍睢瑂䡁䅁睢畂䝁䅕杢あ䡁䅍䅌杁䝁䅅杢歂䍁䅁兡畂䡁䅑党獂䝁䅷兡湂䝁䅕杢橂䝁䅕䅉穂䡁䅫督あ䝁䅕兢穂䍁䅁兡畂䍁䅁睑桂䝁䄴兙歂䝁䅅䅌杁䡁䅑䅡求䍁䅁兖畂䝁䅫䅤求䝁䅑䅉呂䡁䅑兙あ䝁䅕督獁䍁䅁兒ㅂ䡁䅉睢睂䝁䅕䅌杁䕁䅅督灂䝁䅅䅌杁䡁䅑䅡求䍁䅁兔灂䝁䅑䅚獂䝁䅕䅉䙂䝁䅅督あ䍁䅷䅉桂䝁䄴䅚杁䝁䅫杢あ䝁䅕杣畂䝁䅅䅤灂䝁䄸杢桂䝁䅷䅢㕂䍁䄴䅉啂䝁䅧党杁䝁䅍睢瑂䡁䅁兙畂䡁䅫䅉療䝁䅙杚求䡁䅉督杁䝁䅣党療䝁䅫杢あ䝁䅕䅢獂䝁䅫睚求䝁䄴睙求䍁䅁督療䝁䅷兤あ䝁䅫睢畂䡁䅍䅉あ䝁䅧兙あ䍁䅁兤穂䝁䅕䅉穂䝁䅅䅤求䝁䅷䅢灂䡁䅑党瑁䝁䅣党畂䝁䅕杣桂䡁䅑党歂䍁䅁兡瑂䝁䅅睚求䡁䅉入杁䝁䅅杢歂䍁䅁兙畂䝁䅅䅢㕂䡁䅑兡橂䍁䅁督求䡁䅉杤灂䝁䅍党穂䍁䅁䅤療䍁䅁䅚求䝁䅷兡㉂䝁䅕杣杁䝁䅍杣灂䡁䅑兡橂䝁䅅䅢杁䝁䅅杢歂䍁䅁杤桂䝁䅷兤求䍁䄰兙歂䝁䅑党歂䍁䅁兡畂䡁䅍兡湂䝁䅧䅤穂䍁䅁兡畂䍁䅁䅤潂䝁䅕䅉桂䡁䅉党桂䡁䅍䅉療䝁䅙䅉畂䝁䅅䅤灂䝁䄸杢桂䝁䅷䅉穂䝁䅕睙ㅂ䡁䅉兡あ䡁䅫䅌杁䝁䅍䅢灂䝁䄰兙あ䝁䅕䅉橂䝁䅧兙畂䝁䅣党杁䝁䄰睢畂䝁䅫䅤療䡁䅉兡畂䝁䅣䅌杁䝁䅅杢歂䍁䅁兢桂䡁䅉兡あ䝁䅫兢求䍁䅁督ㅂ䡁䅉杤求䝁䅫䅢獂䝁䅅杢橂䝁䅕睏杁䝁䄸睤畂䡁䅍䅉桂䝁䄴䅚杁䝁䄸䅣求䡁䅉兙あ䝁䅕督杁䝁䅍睢瑂䝁䄰党祂䝁䅍兡桂䝁䅷䅉歂䝁䅅䅤桂䍁䅁䅚灂䡁䅍䅤祂䝁䅫杙ㅂ䡁䅑兡療䝁䄴䅉浂䝁䄸杣杁䝁䅫䅤穂䍁䅁督桂䡁䅑党獂䝁䅷兡あ䝁䅕䅉卂䕁䅅䅒䉂䙁䅉睕䉂䙁䅑兌祁䑁䅳䅉桂䝁䄴䅚杁䝁䅑兡穂䡁䅑杣灂䝁䅉兤あ䝁䅕督杁䝁䅧兡湂䝁䅧䅉祂䝁䅕督療䝁䅷兤あ䝁䅫睢畂䍁䅁睢睂䡁䅑兡橂䝁䅅䅢杁䝁䅫兢桂䝁䅣党祂䡁䅫䅌杁䡁䅍兙あ䝁䅕䅢獂䝁䅫䅤求䍁䄰杙桂䡁䅍党歂䍁䅁兙ㅂ䡁䅑睢瑂䝁䅅䅤灂䝁䅍䅉灂䝁䅑党畂䡁䅑兡浂䝁䅫睙桂䡁䅑兡療䝁䄴䅉穂䡁䅫督あ䝁䅕兢杁䝁䅑兙あ䝁䅅䅌杁䝁䅅杢歂䍁䅁杣桂䝁䅑兡療䍁䄰杚祂䝁䅕兣ㅂ䝁䅕杢橂䡁䅫䅉歂䝁䅅䅤桂䍁䅁杚療䡁䅉䅉療䡁䅑䅡求䡁䅉䅉あ䝁䅧兡祂䝁䅑兌睂䝁䅅杣あ䡁䅫䅉瑂䝁䅫督穂䝁䅫睢畂䡁䅍杌杁䕁䅫䅤杁䝁䅅䅢穂䝁䄸䅉睂䡁䅉睢㉂䝁䅫䅚求䡁䅍䅉桂䡁䅕䅤療䝁䄴睢瑂䝁䄸兤穂䍁䅁杣療䝁䅉睢あ䝁䅫睙穂䍁䅁兙畂䝁䅑䅉㉂䝁䅫督灂䝁䄸杢杁䡁䅍党畂䡁䅍睢祂䡁䅍䅌杁䡁䅣䅡灂䝁䅍䅡杁䝁䄸䅣求䡁䅉兙あ䝁䅕䅉灂䝁䄴䅉穂䡁䅁兙橂䝁䅕䅉桂䝁䄴䅚杁䝁䄸杢杁䡁䅑䅡求䍁䅁督ㅂ䡁䅉杚桂䝁䅍党穂䍁䅁睢浂䍁䅁䅤潂䝁䅕䅉瑂䝁䄸睢畂䍁䅁兙畂䝁䅑䅉瑂䝁䅅杣穂䑁䅳䅉桂䝁䄴䅚杁䡁䅉睢楂䝁䄸䅤灂䝁䅍䅉穂䡁䅫督あ䝁䅕兢穂䍁䅷䅉灂䝁䄴䅤求䡁䅉杚桂䝁䅍党穂䍁䅷䅉あ䝁䄸睢獂䝁䅫杢湂䍁䅷䅉桂䝁䄴䅚杁䝁䅣杣療䡁䅕杢歂䍁䅁睙療䝁䄴䅤祂䝁䄸䅢杁䡁䅍䅤桂䡁䅑兡療䝁䄴督杁䝁䅅杢歂䍁䅁睢睂䝁䅕杣桂䡁䅑兡療䝁䄴䅉穂䝁䅕杣㉂䝁䅫睙求䡁䅍䅌杁䝁䅅督杁䡁䅣党獂䝁䅷䅉桂䡁䅍䅉求䝁䅷党橂䡁䅑杣療䍁䄰睢睂䡁䅑兡橂䍁䅁兙畂䝁䅑䅉獂䝁䅫睚潂䡁䅑䅉歂䝁䅕䅤求䝁䅍䅤灂䝁䄸杢杁䝁䅅杢歂䍁䅁杣桂䝁䄴睚灂䝁䄴睚杁䡁䅍党畂䡁䅍睢祂䡁䅍䅌杁䡁䅙兡穂䝁䅫睢畂䍁䅁督㕂䡁䅍䅤求䝁䄰督獁䍁䅁䅣獂䝁䅅杢求䡁䅑兙祂䡁䅫䅉祂䝁䄸杤求䡁䅉䅉獂䝁䄸睙療䝁䄰睢あ䝁䅫睢畂䍁䅁督ㅂ䝁䅉督㕂䡁䅍䅤求䝁䄰督獁䍁䅁兙畂䝁䅑䅉湂䡁䅕兡歂䝁䅅杢橂䝁䅕䅌杁䝁䄴兙㉂䝁䅫睚桂䡁䅑兡療䝁䄴䅌杁䝁䅅杢歂䍁䅁睙療䝁䄴䅤祂䝁䄸䅢杁䡁䅍兤楂䡁䅍入穂䡁䅑党瑂䡁䅍杌杁䕁䅫杢杁䝁䅅䅚歂䝁䅫䅤灂䝁䄸杢獁䍁䅁䅤潂䝁䅕䅉橂䝁䄸兢睂䝁䅅杢㕂䍁䅁睢浂䝁䅙党祂䡁䅍䅉穂䝁䅅䅤求䝁䅷䅢灂䡁䅑党杁䡁䅍入穂䡁䅑党瑂䡁䅍䅉桂䝁䄴䅚杁䡁䅍兤楂䍁䄰督㕂䡁䅍䅤求䝁䄰督杁䝁䅙睢祂䍁䅁睙療䝁䄰兢ㅂ䝁䄴兡橂䝁䅅䅤灂䝁䄸杢杁䝁䄴党あ䡁䅣睢祂䝁䅳督獁䍁䅁兡畂䝁䅍䅢ㅂ䝁䅑兡畂䝁䅣䅉穂䡁䅁兙橂䝁䅕兌楂䝁䅅督求䝁䅑䅉楂䡁䅉睢桂䝁䅑杙桂䝁䄴䅚杁䝁䅫杢あ䝁䅕杣畂䝁䅕䅤獁䍁䅁䅚灂䡁䅉党橂䡁䅑兌あ䝁䄸兌歂䝁䅫杣求䝁䅍䅤杁䡁䅍兙あ䝁䅕䅢獂䝁䅫䅤求䍁䅁睙療䝁䄰兢ㅂ䝁䄴兡橂䝁䅅䅤灂䝁䄸杢獁䍁䅁兙畂䝁䅑䅉灂䝁䄴䅤求䡁䅉杢求䡁䅑䅉療䝁䅙䅉あ䝁䅧兡畂䝁䅣督杁䝁䅍睢畂䝁䄴党橂䡁䅑兡㉂䝁䅫䅤㕂䍁䅁兙橂䡁䅉睢穂䡁䅍䅉あ䝁䅧党杁䝁䅙兤獂䝁䅷䅉橂䝁䄸兢瑂䡁䅕杢灂䝁䅍兙あ䝁䅫睢畂䍁䅁杚祂䝁䅕兣ㅂ䝁䅕杢橂䡁䅫䅉穂䡁䅁党橂䡁䅑杣ㅂ䝁䄰睏杁䝁䅷睢㍂䍁䅁党桂䡁䅉䅤潂䍁䅁睢祂䝁䅉兡あ䍁䅁睙療䝁䄰兢ㅂ䝁䄴兡橂䝁䅅䅤灂䝁䄸杢杁䝁䅍睢畂䡁䅍䅤求䝁䅷䅢桂䡁䅑兡療䝁䄴䅌杁䡁䅍兤橂䝁䅧䅉桂䡁䅍䅉偂䑁䅍杙杁䝁䄰䅕療䡁䅣党祂䍁䅷䅉䩂䡁䅉兡歂䝁䅫兤瑂䍁䅁杔求䡁䅧䅤獁䍁䅁兙畂䝁䅑䅉偂䝁䄴党塂䝁䅕杙畁䍁䅁兓あ䍁䅁督求䡁䅉杤求䡁䅍䅉湂䝁䄸杤求䡁䅉杢瑂䝁䅕杢あ䍁䅁兙湂䝁䅕杢橂䝁䅫党穂䍁䅷䅉睂䡁䅉兡瑂䝁䅕䅉橂䝁䄸杢あ䡁䅉兙橂䡁䅑睢祂䡁䅍䅌杁䝁䅅杢歂䍁䅁督睂䝁䅅睙求䍁䅁睙療䝁䄰䅣桂䝁䄴兡求䡁䅍杌杁䙁䅑䅡求䍁䅁睙療䝁䄰䅣桂䝁䄴入杁䡁䅣兙穂䍁䅁杚療䡁䅉兢求䡁䅉䅢㕂䍁䅁睡畂䝁䄸睤畂䍁䅁兙穂䍁䅁兔䕂䕁䅅䅉䵂䡁䅑䅚畁䍁䅁兙畂䝁䅑䅉橂䝁䅧兙畂䝁䅣党歂䍁䅁兡あ䡁䅍䅉畂䝁䅅兢求䍁䅁䅤療䍁䅁兔䕂䕁䅅䅉呂䡁䅁兙橂䝁䅕䅉䵂䡁䅑䅚畁䍁䅁兡畂䍁䅁兔桂䡁䅫䅉祁䑁䅁杍ぁ䍁䄴䅉乂䕁䅑兑杁䙁䅍䅣桂䝁䅍党杁䕁䅷䅤歂䍁䄴䅉㍂䝁䅅督杁䝁䅫杢橂䝁䄸杣睂䝁䄸杣桂䡁䅑党歂䍁䅁兡畂䍁䅁免㕁䑁䅙兏杁䝁䅅杢歂䍁䅁兡穂䍁䅁䅡求䝁䅅䅚硂䡁䅕兙祂䡁䅑党祂䝁䅕䅚杁䝁䅫杢杁䕁䅉杣桂䝁䄰䅣あ䝁䄸杢獁䍁䅁睑桂䝁䄴兙歂䝁䅅杌䅁乁䅣䅁敁䅁䅁兔婂䙁䅉䅉䡂䡁䅉睢ㅂ䡁䅁䅉䩂䝁䄴睙畁䅁䅁內䅁䕁䭙䅁啂䡁䅉兙畂䡁䅍睙療䝁䄴䅤灂䝁䄴党畂䡁䅑兙獂䍁䅁兓畂䝁䅍杌杁䝁䅕杢湂䝁䅅睚求䡁䅍䅉灂䝁䄴䅉あ䝁䅧党杁䝁䅙䅢求䡁䅧兡楂䝁䅷党杁䡁䅁兙橂䝁䅳兙湂䝁䅫杢湂䍁䅁杙ㅂ䡁䅍兡畂䝁䅕督穂䍁䅁兡畂䍁䅁睑桂䝁䄴兙歂䝁䅅䅌杁䡁䅑䅡求䍁䅁兖畂䝁䅫䅤求䝁䅑䅉呂䡁䅑兙あ䝁䅕督獁䍁䅁䅔桂䡁䅑兡畂䍁䅁兑瑂䝁䅕杣灂䝁䅍兙獁䍁䅁䅤潂䝁䅕䅉噂䝁䄴兡あ䝁䅕䅚杁䕁䅳兡畂䝁䅣䅚療䝁䄰䅌杁䕁䅅兤穂䡁䅑杣桂䝁䅷兡桂</t>
  </si>
  <si>
    <t>䍁䅷䅉桂䝁䄴䅚杁䕁䄴党㍂䍁䅁杗求䝁䅅䅢桂䝁䄴䅚畁䍁䅁兓あ䍁䅁睢睂䝁䅕杣桂䡁䅑党穂䍁䅁䅤潂䡁䅉睢ㅂ䝁䅣䅡杁䙁䅁兙橂䝁䅳兙湂䝁䅫杢湂䍁䅷䅉兂䡁䅉兡畂䡁䅑兡畂䝁䅣䅌杁䝁䅅杢歂䍁䅁兔求䝁䅑兡桂䍁䅁督求䝁䅍䅤療䡁䅉督畁䍁䅁䅖潂䝁䅕䅉兂䝁䅅睙牂䝁䅅睚灂䝁䄴睚杁䡁䅍党橂䡁䅑睢祂䍁䅁党畂䝁䅣兙湂䝁䅕督杁䝁䅫杢杁䡁䅑䅡求䍁䅁党㑂䡁䅑杣ㅂ䡁䅍兡療䝁䄴䅌杁䝁䅷兙瑂䝁䅫杢桂䡁䅑兡療䝁䄴䅌杁䡁䅁杣灂䝁䄴䅤灂䝁䄴睚獁䍁䅁兙畂䝁䅑䅉橂䝁䄸杢㉂䝁䅕杣あ䝁䅫杢湂䍁䅁䅣桂䝁䅍睡桂䝁䅣兡畂䝁䅣䅉穂䝁䄸䅢ㅂ䡁䅑兡療䝁䄴督㝁䍁䅁兙畂䝁䅑䅉瑂䝁䅅杢ㅂ䝁䅙兙橂䡁䅑兤祂䝁䅫杢湂䍁䅁兙畂䝁䅑䅉祂䝁䅕睙㕂䝁䅍䅢灂䝁䄴睚杁䝁䅙䅢求䡁䅧兡楂䝁䅷党杁䡁䅁䅢桂䡁䅍䅤灂䝁䅍䅌杁䝁䅫杢橂䝁䅷兤歂䝁䅫杢湂䍁䅁杣療䝁䅷䅢穂䡁䅑睢橂䝁䅳䅌杁䝁䅉兙湂䡁䅍䅉桂䝁䄴䅚杁䡁䅁睢ㅂ䝁䅍䅡求䡁䅍䅌杁䝁䅍睢求䡁䅧䅤祂䡁䅕䅚求䝁䅑䅉浂䝁䅫䅢瑂䡁䅍䅌杁䡁䅍䅡祂䝁䅫杢牂䍁䅁杚灂䝁䅷兢穂䍁䅁兙畂䝁䅑䅉楂䝁䅅睚穂䍁䅷䅉桂䝁䄴䅚杁䝁䅅䅚㉂䝁䅅杢橂䝁䅕䅚杁䝁䅍睢桂䡁䅑兡畂䝁䅣督畁䍁䅁䅖潂䝁䅫督杁䡁䅍党橂䡁䅑睢祂䍁䅁督求䡁䅉杤求䡁䅍䅉桂䝁䅣杣灂䝁䅍兤獂䡁䅑兤祂䝁䅕䅌杁䝁䅉党㉂䝁䅕杣桂䝁䅣党獁䍁䅁睙潂䝁䅕党穂䝁䅕䅉桂䝁䄴䅚杁䝁䅑兙灂䡁䅉入獁䍁䅁睙療䝁䅙杚求䝁䅕䅉桂䝁䄴䅚杁䡁䅑党桂䍁䅷䅉浂䡁䅉睢㙂䝁䅕杢獁䍁䅁䅡求䝁䅅䅢あ䝁䅧䅉桂䝁䄴䅚杁䡁䅣党獂䝁䅷杢求䡁䅍督獁䍁䅁䅡療䝁䄰党杁䝁䅅杢歂䍁䅁䅣求䡁䅉督療䝁䄴兙獂䍁䅁睙桂䡁䅉党獁䍁䅁兡畂䝁䅑兤穂䡁䅑杣灂䝁䅅䅢獁䍁䅁䅢桂䡁䅣杢杁䝁䅅杢歂䍁䅁睚桂䡁䅉䅚求䝁䄴䅌杁䝁䄰党桂䡁䅑䅉桂䝁䄴䅚杁䡁䅁杣療䡁䅑党灂䝁䄴䅌杁䡁䅁党あ䍁䅁杚療䝁䄸䅚獁䍁䅁督畂䝁䅅睙牂䡁䅍䅌杁䝁䅍睢畂䝁䅙党橂䡁䅑兡療䝁䄴䅉桂䝁䄴䅚杁䝁䅑兙灂䡁䅉入杁䝁䅙睢療䝁䅑督獁䍁䅁䅤療䝁䅉兙橂䝁䅍睢獁䍁䅁兢ㅂ䡁䅍兡橂䍁䅷䅉桂䝁䄴䅚杁䝁䅕杢あ䝁䅕杣あ䝁䅅兡畂䝁䄰党畂䡁䅑䅉瑂䝁䅅杣牂䝁䅕䅤穂䍁䅷䅉桂䡁䅍䅉㍂䝁䅕䅢獂䍁䅁兙穂䍁䅁督ㅂ䡁䅁党祂䝁䄰兙祂䝁䅳党あ䡁䅍杌杁䙁䅑䅡求䍁䅁䅕祂䝁䅫杢あ䝁䅫杢湂䍁䅁督求䝁䅍䅤療䡁䅉䅉睂䡁䅉睢㉂䝁䅫䅚求䡁䅍䅉灂䝁䄴䅤求䝁䅣杣桂䡁䅑党歂䍁䅁督求䡁䅉杤灂䝁䅍党穂䍁䅁杚療䡁䅉䅉祂䝁䅕䅤桂䝁䅫䅢求䡁䅉督獁䍁䅁督ㅂ䝁䅍䅡杁䝁䅅督杁䡁䅁杣求䝁䄰党歂䝁䅫兙杁䡁䅍党祂䡁䅙兡橂䝁䅕督獁䍁䅁杚獂䡁䅫党祂䍁䅁兙畂䝁䅑䅉灂䝁䄴兌穂䡁䅑睢祂䝁䅕䅉瑂䝁䅅杣牂䝁䅕䅤灂䝁䄴睚杁䡁䅁杣療䝁䅑兤橂䡁䅑䅉睂䡁䅉兡畂䡁䅑兡畂䝁䅣䅌杁䝁䅅杢歂䍁䅁䅚療䝁䄸杣瑁䡁䅑睢瑁䝁䅑睢療䡁䅉䅉歂䝁䅫督あ䡁䅉兡楂䡁䅕䅤灂䝁䄸杢獁䍁䅁兙穂䍁䅁睤求䝁䅷䅢杁䝁䅅督杁䡁䅁杣灂䝁䄴䅤杁䡁䅍睢獂䡁䅕䅤灂䝁䄸杢穂䍁䅁杚療䡁䅉䅉畂䝁䅕睤穂䡁䅁兙睂䝁䅕杣穂䍁䅷䅉瑂䝁䅅睚桂䡁䅯兡畂䝁䅕督獁䍁䅁䅎瑁䝁䅍睢獂䝁䄸杣杁䝁䅉睢療䝁䅳督獁䍁䅁兙畂䝁䅑䅉睂䝁䅕杣穂䝁䄸杢桂䝁䅷兡㙂䝁䅕䅚杁䝁䅅杢歂䍁䅁兢桂䡁䅍督杁䝁䄰兙祂䝁䅳党あ䝁䅫杢湂䍁䅁䅣祂䝁䄸䅚ㅂ䝁䅍䅤穂䍁䄴䅉啂䝁䅧党杁䕁䄰党歂䝁䅫兙杁䡁䅍党橂䡁䅑睢祂䍁䅁兡穂䍁䅁兡畂䡁䅙睢獂䡁䅙党歂䍁䅁兡畂䍁䅁䅣祂䝁䅫杢あ䝁䅫杢湂䍁䅁兙畂䝁䅑䅉歂䝁䅫睚灂䡁䅑兙獂䍁䅁䅣ㅂ䝁䅉䅢灂䡁䅍䅡灂䝁䄴睚杁䝁䄸杚杁䝁䅕䅚ㅂ䝁䅍兙あ䝁䅫睢畂䝁䅅䅢杁䝁䅅杢歂䍁䅁䅤祂䝁䅅䅚求䍁䅁杙療䝁䄸睡穂䍁䅷䅉桂䝁䄴䅚杁䡁䅍䅣求䝁䅍兡桂䝁䅷兡㙂䝁䅕䅚杁䡁䅁兤楂䝁䅷兡橂䝁䅅䅤灂䝁䄸杢穂䍁䅁杚療䡁䅉䅉睂䡁䅉睢浂䝁䅕督穂䝁䅫睢畂䝁䅅䅢穂䍁䅁兙畂䝁䅑䅉畂䝁䅕睤穂䡁䅁兙睂䝁䅕杣穂䍁䅁兡畂䍁䅁杒祂䝁䅕杢橂䝁䅧䅉桂䝁䄴䅚杁䕁䅕杢湂䝁䅷兡穂䝁䅧杌杁䙁䅑杣桂䝁䄴督橂䝁䄸杢あ䝁䅫杢求䝁䄴䅤桂䝁䅷䅉䩂䝁䄴睙畁䍁䅁睤桂䡁䅍䅉浂䝁䄸兤畂䝁䅑党歂䍁䅁兡畂䍁䅁免㕁䑁䅣李杁䝁䅅杢歂䍁䅁兡穂䍁䅁䅡求䝁䅅䅚硂䡁䅕兙祂䡁䅑党祂䝁䅕䅚杁䝁䅫杢杁䕁䄰睢畂䡁䅑杣求䝁䅅䅢獁䍁䅁睑桂䝁䄴兙歂䝁䅅杌䅁佁䅑䅁十䅁䅁杔婂䙁䅍兒㙁䕁䄰䅓䱂䅁䅁睊䅁䉁䅉䅁佂䙁䅫睕䙂䑁䅯睑呂䙁䅙䅁汃䅁䅁杢䄸䕁䄰兗卂䍁䅁睒祂䝁䄸兤睂䍁䅁兓畂䝁䅍杌獁䍁䅁䅤潂䡁䅉睢ㅂ䝁䅣䅡杁䝁䅫䅤穂䍁䅁督ㅂ䝁䅉督灂䝁䅑兡桂䡁䅉兡求䡁䅍䅌杁䡁䅁杣療䡁䅙兡歂䝁䅕督杁䝁䅕䅢求䝁䅍䅤祂䝁䅫睙桂䝁䅷䅉橂䝁䄸杢穂䡁䅑杣ㅂ䝁䅍䅤灂䝁䄸杢杁䡁䅍党祂䡁䅙兡橂䝁䅕督杁䝁䅫杢杁䡁䅑䅡求䍁䅁兖畂䝁䅫䅤求䝁䅑䅉呂䡁䅑兙あ䝁䅕督杁䝁䅅杢歂䍁䅁睑桂䝁䄴兙歂䝁䅅杌杁䕁䅫䅤杁䝁䄸䅣求䡁䅉兙あ䝁䅕督杁䝁䅫杢杁䡁䅑睤療䍁䅁督求䝁䅣兢求䝁䄴䅤穂䍁䅷䅉啂䡁䅉兙畂䡁䅍兢灂䡁䅍督灂䝁䄸杢杁䝁䅅杢歂䍁䅁䅒灂䡁䅍䅤祂䝁䅫杙ㅂ䡁䅑兡療䝁䄴䅌杁䝁䅅杢歂䍁䅁睑療䝁䄰兢求䡁䅉睙灂䝁䅅䅢杁䝁䅅杢歂䍁䅁兓畂䝁䅑兤穂䡁䅑杣灂䝁䅅䅢畁䍁䅁䅖潂䝁䅕䅉啂䡁䅉兙畂䡁䅍兢灂䡁䅍督灂䝁䄸杢杁䝁䅅杢歂䍁䅁䅒灂䡁䅍䅤祂䝁䅫杙ㅂ䡁䅑兡療䝁䄴䅉穂䝁䅕睚瑂䝁䅕杢あ䍁䅁睢浂䝁䅙党祂䡁䅍䅉桂䍁䅁杣桂䝁䄴睚求䍁䅁睢浂䍁䅁督求䡁䅉杤灂䝁䅍党穂䍁䅁睢畂䍁䅁党獂䝁䅕睙あ䡁䅉兡橂䍁䅁䅤祂䝁䅅杢穂䝁䄰兡穂䡁䅍兡療䝁䄴䅉桂䝁䄴䅚杁䝁䅑兡穂䡁䅑杣灂䝁䅉兤あ䝁䅫睢畂䍁䅁杢求䡁䅑睤療䡁䅉睡穂䍁䅷䅉桂䝁䄴䅚杁䡁䅍兤楂䡁䅍䅤桂䡁䅑兡療䝁䄴䅉浂䝁䅅睙灂䝁䅷兡あ䝁䅫党穂䍁䅷䅉灂䝁䄴睙獂䡁䅕䅚灂䝁䄴睚杁䝁䅑党穂䝁䅫睚畂䍁䅷䅉求䝁䄴睚灂䝁䄴党求䡁䅉兡畂䝁䅣䅌杁䡁䅁杣療䝁䅍兤祂䝁䅕兢求䝁䄴䅤獁䍁䅁睙療䝁䄴督あ䡁䅉兤橂䡁䅑兡療䝁䄴䅌杁䡁䅕䅣湂䡁䅉兙歂䝁䅕䅌杁䝁䄰兙灂䝁䄴䅤求䝁䄴兙畂䝁䅍党獁䍁䅁兙畂䝁䅑䅉祂䝁䅕䅣桂䝁䅫杣杁䡁䅍党祂䡁䅙兡橂䝁䅕督杁䡁䅣兡あ䝁䅧䅉睂䡁䅉兡瑂䝁䅅杣㕂䍁䅁杚療䝁䅍兤穂䍁䅁睢畂䍁䅁睙療䝁䄴督あ䡁䅉兤橂䡁䅑兡療䝁䄴䅌杁䝁䄰兙灂䝁䄴䅤求䝁䄴兙畂䝁䅍党獁䍁䅁兙畂䝁䅑䅉祂䝁䅕䅣桂䝁䅫杣杁䡁䅑睢杁䝁䅍兤穂䡁䅑睢瑂䝁䅕杣穂䍁䅁兡畂䍁䅁䅤潂䝁䅕䅉求䝁䅷党橂䡁䅑杣灂䝁䅍䅉ㅂ䡁䅑兡獂䝁䅫䅤㕂䍁䅁兡畂䝁䅑兤穂䡁䅑杣㕂䑁䅳䅉桂䝁䄴䅚杁䡁䅍党祂䡁䅙兡橂䝁䅕督獁䍁䅁兡畂䝁䅍䅢ㅂ䝁䅑兡畂䝁䅣䅉橂䝁䄸杢穂䡁䅑杣ㅂ䝁䅍䅤灂䝁䄸杢杁䝁䅅杢歂䍁䅁兢桂䝁䅫杢あ䝁䅕杢桂䝁䄴睙求䍁䅁睢浂䍁䅁䅡灂䝁䅣䅡杁䡁䅙睢獂䡁䅑兙湂䝁䅕䅉あ䡁䅉兙畂䡁䅍兢灂䡁䅍督灂䝁䄸杢杁䝁䅷兡畂䝁䅕督獁䍁䅁督ㅂ䝁䅉督あ䝁䅅䅤灂䝁䄸杢穂䍁䅷䅉桂䝁䄴䅚杁䝁䅷睢㍂䝁䅕杣杁䡁䅙睢獂䡁䅑兙湂䝁䅕䅉ㅂ䝁䄴䅚求䡁䅉睚祂䝁䄸兤畂䝁䅑䅉桂䝁䄴䅚杁䝁䄸杤求䡁䅉䅡求䝁䅅䅚杁䝁䅑兡穂䡁䅑杣灂䝁䅉兤あ䝁䅫睢畂䍁䅁督㕂䡁䅍䅤求䝁䄰督獁䍁䅁睙獂䝁䅕兙畂䍁䅁党畂䝁䅕杣湂䡁䅫䅉睂䡁䅉睢煂䝁䅕睙あ䡁䅍䅌杁䝁䅅杢歂䍁䅁党獂䝁䅕睙あ䡁䅉兡橂䍁䅁杤求䝁䅧兡橂䝁䅷党杁䝁䅍䅡桂䡁䅉睚灂䝁䄴睚杁䝁䅫杢浂䡁䅉兙穂䡁䅑杣ㅂ䝁䅍䅤ㅂ䡁䅉党杁䡁䅍党祂䡁䅙兡橂䝁䅕督獁䍁䅁兙穂䍁䅁睤求䝁䅷䅢杁䝁䅅督杁䝁䅕兢求䡁䅉睚求䝁䄴睙㕂䍁䅁杣求䡁䅍䅤療䡁䅉兙あ䝁䅫睢畂䍁䅁督求䡁䅉杤灂䝁䅍党穂䍁䅁兡畂䍁䅁杣求䡁䅍䅣療䝁䄴督求䍁䅁䅤療䍁䅁䅡ㅂ䡁䅉杣灂䝁䅍兙畂䝁䅕䅌杁䡁䅣兡獂䝁䅑杚灂䡁䅉党獁䍁䅁兡橂䝁䅕䅌杁䝁䄸杣杁䝁䄸䅤潂䝁䅕杣杁䡁䅉党獂䝁䅅䅤求䝁䅑䅉歂䝁䅅兢桂䝁䅣党穂䍁䄴䅉啂䝁䅧兡穂䍁䅁督求䝁䅣兢求䝁䄴䅤杁䡁䅍党祂䡁䅙党穂䍁䅁兙穂䍁䅁兙杁䡁䅁杣灂䝁䄰党杁䝁䅍睢畂䡁䅑杣桂䝁䅍䅤療䡁䅉䅉あ䝁䄸䅉橂䡁䅕督あ䝁䄸兢求䡁䅉督獁䍁䅁督ㅂ䝁䅍䅡杁䝁䅅督杁䝁䅫杢㉂䝁䅕督あ䝁䄸杣瑁䝁䄸睤畂䝁䅕䅚杁䡁䅕䅤灂䝁䅷兡あ䝁䅫党穂䍁䅷䅉橂䝁䄸睢睂䝁䅕杣桂䡁䅑兡㉂䝁䅕督獁䍁䅁䅣祂䝁䅫杤桂䡁䅑党杁䝁䅑党㉂䝁䅕䅢療䡁䅁党祂䡁䅍䅌杁䝁䅣睢㉂䝁䅕杣畂䝁䄰党畂䡁䅑兌浂䡁䅕杢歂䝁䅕䅚杁䡁䅕䅤灂䝁䅷兡あ䝁䅫党穂䍁䅷䅉灂䝁䄴䅚求䡁䅁党畂䝁䅑党畂䡁䅑䅉睂䝁䄸睤求䡁䅉䅉睂䡁䅉睢歂䡁䅕睙求䡁䅉督獁䍁䅁兡畂䝁䅑党睂䝁䅕杢歂䝁䅕杢あ䍁䅁䅤祂䝁䅅杢穂䝁䄰兡穂䡁䅍兡療䝁䄴䅉橂䝁䄸兢睂䝁䅅杢灂䝁䅕督獁䍁䅁兡畂䝁䅑兤穂䡁䅑杣灂䝁䅅䅢杁䝁䅙兙橂䝁䅫䅢灂䡁䅑入杁䝁䄸睤畂䝁䅕杣穂䍁䅷䅉桂䝁䄴䅚杁䝁䄸䅤潂䝁䅕杣杁䝁䅍睢畂䡁䅑杣桂䝁䅍䅤療䡁䅉督畁䍁䅁䅖潂䝁䅕䅉䑂䝁䄸兢瑂䝁䅕杣橂䝁䅫兙獂䍁䅁兙畂䝁䅑䅉䩂䝁䄴䅚ㅂ䡁䅍䅤祂䝁䅫兙獂䍁䅁督求䝁䅣兢求䝁䄴䅤杁䡁䅁杣療䡁䅙兡歂䝁䅕督杁䝁䅅䅉祂䝁䅅杢湂䝁䅕䅉療䝁䅙䅉穂䝁䅕杣㉂䝁䅫睙求䡁䅍䅌杁䝁䅫杢橂䝁䅷兤歂䝁䅫杢湂䍁䅁䅚求䡁䅍兡湂䝁䄴䅌杁䝁䅫杢穂䡁䅑兙獂䝁䅷兙あ䝁䅫睢畂䍁䅷䅉瑂䝁䅅兡畂䡁䅑党畂䝁䅅杢橂䝁䅕䅌杁䝁䅅杢歂䍁䅁杣求䡁䅁兙灂䡁䅉䅉療䝁䅙䅉橂䝁䄸兢瑂䝁䅕杣橂䝁䅫兙獂䍁䅁兙畂䝁䅑䅉灂䝁䄴䅚ㅂ䡁䅍䅤祂䝁䅫兙獂䍁䅁睤灂䡁䅉兡畂䝁䅣睏杁䝁䅅杢歂䍁䅁兡畂䡁䅍䅤桂䝁䅷䅢桂䡁䅑兡療䝁䄴䅉療䝁䅙䅉灂䝁䄴䅤求䝁䅷䅢灂䝁䅣党畂䡁䅑䅉あ䡁䅉兙畂䡁䅍䅣療䡁䅉䅤桂䡁䅑兡療䝁䄴䅉穂䡁䅫督あ䝁䅕兢穂䍁䅷䅉祂䝁䄸兙歂䡁䅣兙㕂䍁䅁䅢灂䝁䅣䅡あ䝁䅫杢湂䍁䅷䅉桂䝁䄴䅚杁䡁䅍兡湂䝁䄴兙獂䝁䅫来桂䡁䅑兡療䝁䄴䅉浂䝁䄸杣杁䝁䅅兡祂䡁䅁睢祂䡁䅑督獁䍁䅁䅡療䡁䅍䅣灂䡁䅑兙獂䡁䅍䅌杁䝁䅑兙あ䝁䅅䅉橂䝁䅕杢あ䝁䅕杣穂䍁䅷䅉潂䝁䄸䅤求䝁䅷督獁䍁䅁督あ䝁䅅䅚灂䡁䅕兢穂䍁䅷䅉橂䝁䄸兢瑂䝁䅕杣橂䝁䅫兙獂䍁䅁兙畂䝁䅑䅉灂䝁䄴䅚ㅂ䡁䅍䅤祂䝁䅫兙獂䍁䅁杚桂䝁䅍兡獂䝁䅫䅤灂䝁䅕督獁䍁䅁睙獂䝁䅕兙畂䍁䅁党畂䝁䅕杣湂䡁䅫䅉睂䡁䅉睢煂䝁䅕睙あ䡁䅍䅌杁䝁䄰兙畂䡁䅕杚桂䝁䅍䅤ㅂ䡁䅉兡畂䝁䅣䅉睂䝁䅷兙畂䡁䅑督獁䍁䅁䅣祂䝁䄸睙求䡁䅍督灂䝁䄴睚杁䝁䅙兙橂䝁䅫䅢灂䡁䅑兡求䡁䅍䅌杁䡁䅣兙あ䝁䅕杣癁䡁䅣兙穂䡁䅑党瑁䡁䅣兙あ䝁䅕杣杁䡁䅑杣求䝁䅅䅤瑂䝁䅕杢あ䍁䅁杚桂䝁䅍兡獂䝁䅫䅤灂䝁䅕督獁䍁䅁兢灂䝁䄴兡畂䝁䅣䅉浂䝁䅅睙灂䝁䅷兡あ䝁䅫党穂䍁䅷䅉灂䝁䄴䅤求䝁䅷䅢灂䝁䅣党畂䡁䅑䅉あ䡁䅉兙畂䡁䅍䅣療䡁䅉䅤桂䡁䅑兡療䝁䄴䅉穂䡁䅫督あ䝁䅕兢穂䍁䅷䅉祂䝁䄸兙歂䡁䅣兙㕂䍁䅁䅢灂䝁䅣䅡あ䝁䅫杢湂䍁䅷䅉穂䝁䅫睚畂䝁䅅䅢灂䡁䅯兙あ䝁䅫睢畂䍁䅷䅉桂䝁䄴䅚杁䝁䅕䅢求䝁䅍䅤祂䝁䅫睙杁䡁䅙党潂䝁䅫睙獂䝁䅕䅉橂䝁䅧兙祂䝁䅣兡畂䝁䅣䅉灂䝁䄴杚祂䝁䅅督あ䡁䅉兤橂䡁䅑兤祂䝁䅕杌杁䙁䅑䅡灂䡁䅍䅉穂䝁䅕睚瑂䝁䅕杢あ䍁䅁督求䡁䅉杤求䡁䅍䅉湂䝁䅕杢求䡁䅉兙獂䍁䅁睙療䝁䄴䅤祂䝁䅅睙あ䝁䄸杣穂䍁䅷䅉橂䝁䄸兢瑂䝁䅕杣橂䝁䅫兙獂䍁䅁兙畂䝁䅑䅉灂䝁䄴䅚ㅂ䡁䅍䅤祂䝁䅫兙獂䍁䅁杚桂䝁䅍兡獂䝁䅫䅤㕂䍁䅁睢㍂䝁䄴党祂䡁䅍䅌杁䝁䅣睢㉂䝁䅕杣畂䝁䄰党畂䡁䅑兙獂䍁䅁兙湂䝁䅕杢橂䝁䅫党穂䍁䅷䅉桂䝁䄴䅚杁䝁䅑党㉂䝁䅕䅢療䡁䅁党祂䡁䅍杌杁䙁䅑䅡求䍁䅁睙療䝁䄰䅣桂䝁䄴入杁䡁䅣兙穂䍁䅁杚療䡁䅕杢歂䝁䅕䅚杁䝁䅫杢杁䑁䅅䅏㕁䑁䅅䅉桂䝁䄴䅚杁䝁䅫督杁䝁䅧党桂䝁䅑兣ㅂ䝁䅅杣あ䝁䅕杣求䝁䅑䅉灂䝁䄴䅉啂䝁䅧睢祂䝁䄴䅤療䝁䄴䅌杁䕁䅍睢獂䝁䄸杣桂䝁䅑睢畁䅁䅁睪䅁䑁䄴䅁乂䝁䅅睚求䝁䅷䅢桂䝁䄴䅉䉂䝁䅕杣療䡁䅍䅣桂䝁䅍党杁䕁䅍睢祂䡁䅁睢祂䝁䅅䅤灂䝁䄸杢䅁乁䅕䅁䍃睄䅁兕ㅂ䝁䅅杢あ䝁䅅䅉呂䝁䅕杣㉂䝁䅫睙求䡁䅍䅌杁䕁䅫杢橂䍁䄴䅉療䝁䅙杚求䡁䅉督杁䝁䅫杢浂䡁䅉兙穂䡁䅑杣ㅂ䝁䅍䅤ㅂ䡁䅉党杁䡁䅍睢獂䡁䅕䅤灂䝁䄸杢穂䍁䅁杚療䡁䅉䅉あ䝁䅧党杁䝁䅕䅢求䝁䅍䅤祂䝁䅫睙杁䝁䅅杢歂䍁䅁睚桂䡁䅍䅉ㅂ䡁䅑兡獂䝁䅫䅤㕂䍁䅷䅉睂䝁䄸睤求䡁䅉䅉湂䝁䅕杢求䡁䅉兙あ䝁䅫睢畂䍁䅷䅉獂䝁䄸兙歂䍁䅁睙求䝁䄴䅤求䡁䅉䅌杁䝁䄰兙畂䡁䅕杚桂䝁䅍䅤ㅂ䡁䅉兡畂䝁䅣䅌杁䝁䅍睢瑂䝁䄰兤畂䝁䅫睙桂䡁䅑兡療䝁䄴督獁䍁䅁䅣灂䡁䅁党獂䝁䅫杢求䍁䅷䅉桂䝁䄴䅚杁䝁䅕杢求䡁䅉睚㕂䍁䅁兡畂䝁䅑兤穂䡁䅑杣灂䝁䅕督畁䍁䅁䅖潂䝁䅕䅉橂䝁䄸兢睂䝁䅅杢㕂䉁杫督杁䕁䅕䅢求䝁䅍䅤祂䝁䅫睙杁䕁䅫杢浂䡁䅉兙穂䡁䅑杣ㅂ䝁䅍䅤ㅂ䡁䅉党杁䙁䅍睢獂䡁䅕䅤灂䝁䄸杢穂䍁䅁督求䝁䅣兢求䝁䄴䅤杁䝁䅕杢湂䝁䅅睚求䡁䅍䅉灂䝁䄴䅉あ䝁䅧党杁䝁䅑党穂䝁䅫睚畂䍁䅷䅉睂䡁䅉睢橂䡁䅕杣求䝁䄰党畂䡁䅑䅌杁䝁䅍睢畂䡁䅍䅤祂䡁䅕睙あ䝁䅫睢畂䍁䅷䅉ㅂ䡁䅁睚祂䝁䅅䅚求䍁䅷䅉祂䝁䅕䅣桂䝁䅫杣獁䍁䅁兙畂䝁䅑䅉瑂䝁䅅兡畂䡁䅑党畂䝁䅅杢橂䝁䅕䅉療䝁䅙䅉求䝁䅷党橂䡁䅑杣灂䝁䅍䅉睂䝁䄸睤求䡁䅉䅉あ䡁䅉兙畂䡁䅍兢灂䡁䅍督灂䝁䄸杢杁䝁䅅杢歂䍁䅁䅚灂䡁䅍䅤祂䝁䅫杙ㅂ䡁䅑兡療䝁䄴䅉灂䝁䄴杚祂䝁䅅督あ䡁䅉兤橂䡁䅑兤祂䝁䅕䅉桂䝁䄴䅚杁䡁䅍兤楂䡁䅍䅤桂䡁䅑兡療䝁䄴䅉浂䝁䅅睙灂䝁䅷兡あ䝁䅫党穂䑁䅳䅉灂䝁䄴督あ䝁䅅䅢獂䝁䅅䅤灂䝁䄸杢獁䍁䅁兢桂䝁䅫杢あ䝁䅕杢桂䝁䄴睙求䍁䅷䅉桂䝁䄴䅚杁䡁䅕䅣湂䡁䅉兙歂䝁䅕䅉療䝁䅙䅉求䝁䅷党橂䡁䅑杣灂䝁䅍䅉睂䝁䄸睤求䡁䅉䅉灂䝁䄴杚祂䝁䅅督あ䡁䅉兤橂䡁䅑兤祂䝁䅕䅉睂䡁䅉睢煂䝁䅕睙あ䡁䅍睏杁䝁䅫杢穂䡁䅑兙獂䝁䅷兙あ䝁䅫睢畂䍁䅁睢浂䍁䅁督瑂䝁䅅杣あ䍁䅁睚祂䝁䅫䅚杁䡁䅑党橂䝁䅧杢療䝁䅷睢湂䝁䅫党穂䍁䅁睢畂䍁䅁党獂䝁䅕睙あ䡁䅉兡橂䍁䅁䅣療䡁䅣党祂䍁䅁杢求䡁䅑睤療䡁䅉睡穂䑁䅳䅉桂䝁䄴䅚杁䝁䅑党穂䝁䅫睚畂䍁䅷䅉灂䝁䄴督あ䝁䅅䅢獂䝁䅅䅤灂䝁䄸杢獁䍁䅁兢桂䝁䅫杢あ䝁䅕杢桂䝁䄴睙求䍁䅷䅉桂䝁䄴䅚杁䡁䅉党睂䝁䅅兡祂䍁䅁睢浂䍁䅁睙療䝁䄰兢求䡁䅉睙灂䝁䅅䅢杁䝁䅅杢歂䍁䅁兡畂䝁䅑兤穂䡁䅑杣灂䝁䅅䅢杁䡁䅣兡祂䝁䅫杢湂䡁䅍杌杁䙁䅑䅡灂䡁䅍䅉穂䝁䅕睚瑂䝁䅕杢あ䍁䅁睢浂䝁䅙党祂䡁䅍䅉桂䡁䅙兡桂䡁䅑兡療䝁䄴睏杁䝁䅕兢求䡁䅉睚求䝁䄴睙㕂䍁䅁兙求䡁䅉兡桂䝁䅷䅉浂䝁䅫杣求䝁䅙兡湂䝁䅧䅤灂䝁䄴睚杁䡁䅍党祂䡁䅙兡橂䝁䅕督㝁䍁䅁党瑂䝁䅕杣湂䝁䅕杢橂䡁䅫䅉祂䝁䅕督あ䝁䄸杣桂䡁䅑兡療䝁䄴睏杁䝁䅅杢歂䍁䅁睢あ䝁䅧党祂䍁䅁党畂䝁䅣兡畂䝁䅕党祂䝁䅫杢湂䍁䅁兙畂䝁䅑䅉あ䝁䅕睙潂䝁䄴兡橂䝁䅅䅢杁䡁䅍党祂䡁䅙兡橂䝁䅕督㝁䍁䅁䅚求䡁䅍兡湂䝁䄴䅉桂䝁䄴䅚杁䝁䅍睢畂䡁䅍䅤祂䡁䅕睙あ䝁䅫睢畂䍁䅁督療䝁䅷兤あ䝁䅫睢畂䡁䅍䅉あ䝁䄸䅉㍂䝁䅫杣求䝁䅷兡畂䝁䅕䅉桂䝁䄴䅚杁䡁䅣兡祂䝁䅕䅢求䡁䅍督杁䝁䅍睢瑂䝁䄰兤畂䝁䅫睙桂䡁䅑兡療䝁䄴督獁䍁䅁睙桂䝁䅉䅢求䍁䅁兢ㅂ䝁䅷䅤灂䍁䄰督㕂䡁䅍䅤求䝁䄰䅉療䡁䅁党祂䝁䅅䅤療䡁䅉督獁䍁䅁䅤求䝁䅍䅡畂䝁䄸䅢療䝁䅣入杁䝁䅍睢瑂䡁䅁兙畂䝁䅫党穂䍁䅷䅉桂䝁䄴䅚杁䝁䄸䅤潂䝁䅕杣杁䝁䅍兤穂䡁䅑睢瑂䝁䅕杣穂䑁䅳䅉求䝁䄴睚灂䝁䄴党求䡁䅉兡畂䝁䅣䅌杁䡁䅁杣療䝁䅍兤祂䝁䅕兢求䝁䄴䅤獁䍁䅁杢求䡁䅣䅉橂䝁䄸杢穂䡁䅑杣ㅂ䝁䅍䅤灂䝁䄸杢獁䍁䅁兙畂䝁䅑䅉祂䝁䅕䅣桂䝁䅫杣杁䝁䅅杢歂䍁䅁兢桂䝁䅫杢あ䝁䅕杢桂䝁䄴睙求䍁䅁督求䡁䅉杤灂䝁䅍党穂䍁䅁杚療䡁䅉䅉祂䝁䅕杢求䡁䅣兙楂䝁䅷党杁䝁䅣党畂䝁䅕杣桂䡁䅑兡療䝁䄴䅉浂䝁䅅睙灂䝁䅷兡あ䝁䅫党穂䑁䅳䅉桂䝁䄴䅚杁䡁䅑杣桂䝁䅫杢灂䝁䄴睚杁䝁䅙睢祂䍁䅁党獂䝁䅕睙あ䡁䅉兡橂䍁䅁睤療䡁䅉睡求䡁䅉督獁䍁䅁兙穂䍁䅁睤求䝁䅷䅢杁䝁䅅督杁䡁䅑杣桂䝁䅫杢灂䝁䄴睚杁䝁䅙睢祂䍁䅁䅤潂䝁䅕䅉湂䝁䅅督杁䝁䅑兡穂䡁䅑杣灂䝁䅉兤あ䝁䅫睢畂䍁䅁兙畂䝁䅑䅉橂䝁䄸兢瑂䡁䅕杢灂䝁䅍兙あ䝁䅫睢畂䡁䅍䅉灂䝁䄴䅚ㅂ䡁䅍䅤祂䝁䅫党穂䍁䄴䅉䩂䡁䅑督杁䙁䅕杢歂䝁䅕杣湂䡁䅉睢ㅂ䝁䄴䅚杁䙁䅕䅤灂䝁䅷兡あ䡁䅫䅉桂䝁䄴䅚杁䕁䅫杢浂䡁䅉兙穂䡁䅑杣ㅂ䝁䅍䅤ㅂ䡁䅉党杁䙁䅍睢獂䡁䅕䅤灂䝁䄸杢穂䍁䅁督求䝁䅣兢求䝁䄴䅤杁䝁䅫督杁䝁䅫杢㉂䝁䄸䅢㉂䝁䅕䅚杁䝁䅫杢杁䡁䅑䅡求䍁䅁䅤祂䝁䅅杢穂䡁䅁睢祂䡁䅑兙あ䝁䅫睢畂䍁䅷䅉歂䝁䅫督あ䡁䅉兡楂䡁䅕䅤灂䝁䄸杢獁䍁䅁督あ䝁䄸杣桂䝁䅣党獁䍁䅁䅚求䡁䅙党獂䝁䄸䅣瑂䝁䅕杢あ䍁䅷䅉桂䝁䄴䅚杁䡁䅁杣療䝁䅍党穂䡁䅍兡畂䝁䅣䅉療䝁䅙䅉畂䝁䅅䅤ㅂ䡁䅉兙獂䍁䅁睚桂䡁䅍䅌杁䝁䄸兡獂䍁䅷䅉桂䝁䄴䅚杁䝁䄸䅤潂䝁䅕杣杁䡁䅁杣療䝁䅑兤橂䡁䅑督獁䍁䅁兙穂䍁䅁睤求䝁䅷䅢杁䝁䅅督杁䝁䄸睤畂䡁䅍䅉桂䝁䄴䅚杁䝁䄸䅣求䡁䅉兙あ䝁䅕督杁䝁䅷兙祂䝁䅣党杁䝁䅷睢桂䝁䅑䅉橂䝁䅕杢あ䝁䅕杣穂䍁䄴䅉啂䝁䅧兡穂䍁䅁督求䝁䅣兢求䝁䄴䅤杁䝁䅅䅢穂䝁䄸䅉求䝁䄴睚桂䝁䅣党穂䍁䅁兡畂䍁䅁䅤潂䝁䅕䅉歂䝁䅕督灂䝁䅣杢獁䍁䅁党畂䝁䅣兡畂䝁䅕党祂䝁䅫杢湂䍁䅷䅉睂䡁䅉睢橂䡁䅕杣求䝁䄰党畂䡁䅑䅌杁䝁䅍睢畂䡁䅍䅤祂䡁䅕睙あ䝁䅫睢畂䍁䅷䅉ㅂ䡁䅁睚祂䝁䅅䅚求䍁䅷䅉桂䝁䄴䅚杁䡁䅉党睂䝁䅅兡祂䍁䅁兙畂䝁䅑䅉瑂䝁䅅兡畂䡁䅑党畂䝁䅅杢橂䝁䅕䅉穂䝁䅕杣㉂䝁䅫睙求䡁䅍䅉浂䝁䄸杣杁䝁䄴兙あ䡁䅕杣桂䝁䅷䅉湂䝁䅅督杁䡁䅍入穂䡁䅑党瑂䡁䅍睏杁䡁䅁兡睂䝁䅕䅢灂䝁䄴党杁䡁䅁杣療䡁䅑党橂䡁䅑兡療䝁䄴䅌杁䝁䅫杢あ䝁䅕睚祂䝁䅫䅤㕂䍁䅁䅤求䡁䅍䅤灂䝁䄴睚獁䍁䅁杣求䝁䅧兙楂䝁䅫䅢灂䡁䅑兙あ䝁䅫睢畂䍁䅷䅉桂䝁䄴䅚杁䡁䅉党睂䝁䅷兙橂䝁䅕兢求䝁䄴䅤杁䡁䅍党祂䡁䅙兡橂䝁䅕督㝁䍁䅁兙畂䝁䅑䅉橂䝁䅅䅤桂䝁䅷入穂䡁䅑䅉祂䝁䅕䅣獂䝁䅅睙求䝁䄰党畂䡁䅑䅌杁䝁䅧兡湂䝁䅧兌睂䡁䅉党穂䡁䅍兤祂䝁䅕䅉桂䝁䄴䅚杁䝁䅍杣灂䡁䅑兡橂䝁䅅䅢瑁䡁䅁兙あ䝁䅧䅉あ䡁䅕杣畂䝁䅅杣療䡁䅕杢歂䍁䅷䅉灂䝁䄴督あ䡁䅉兤瑂䝁䅕杢あ䝁䅅䅤灂䝁䄸杢杁䝁䅅杢歂䍁䅁党獂䝁䅕睙あ䡁䅉兡橂䝁䅅䅢獁䍁䅁䅣灂䡁䅁兡畂䝁䅣䅌杁䝁䅙兙楂䡁䅉兡橂䝁䅅䅤灂䝁䄸杢獁䍁䅁兙畂䝁䅑䅉穂䡁䅑睢祂䝁䅅睚求䍁䅁䅤桂䝁䄴睡杁䡁䅍党祂䡁䅙兡橂䝁䅕督畁䍁䅁䅖潂䝁䅕䅉橂䝁䄸兢睂䝁䅅杢㕂䍁䅁睤桂䡁䅍䅉浂䝁䄸杣瑂䝁䅕杣獂䡁䅫䅉牂䝁䄴睢㍂䝁䄴䅉桂䡁䅍䅉䝂䝁䅅杙桂䝁䅷䅉䑂䝁䄸杢穂䡁䅑杣ㅂ䝁䅍䅤灂䝁䄸杢獁䍁䅁兓畂䝁䅍杌杁䝁䅅杢歂䍁䅁睙潂䝁䅅杢湂䝁䅕䅚杁䝁䅫䅤穂䍁䅁杢桂䝁䄰党杁䡁䅑睢杁䙁䅅兤桂䝁䄴䅤桂䍁䅁睕求䡁䅉杤灂䝁䅍党穂䍁䅷䅉䩂䝁䄴睙畁䍁䅁兡畂䍁䅁杔療䡁䅙党瑂䝁䅉党祂䍁䅁免㕁䑁䅫睎畁䍁䅁䅖潂䝁䅕䅉橂䝁䄸兢睂䝁䅅杢㕂䍁䅁睤桂䡁䅍䅉灂䝁䄴睙療䡁䅉䅣療䡁䅉兙あ䝁䅕䅚杁䝁䅫杢杁䑁䅅兏㕁䑁䅣䅉桂䝁䄴䅚杁䝁䅫督杁䝁䅧党桂䝁䅑兣ㅂ䝁䅅杣あ䝁䅕杣求䝁䅑䅉灂䝁䄴䅉䥂䝁䄸兤穂䡁䅑睢畂䍁䅷䅉啂䝁䅕䅥桂䡁䅍杌䅁䭁䉷䅁㙁杄䅁兔桂䝁䅣党獂䝁䅷兙畂䍁䅁兑求䡁䅉睢穂䡁䅁兙橂䝁䅕䅉䑂䝁䄸杣睂䝁䄸杣桂䡁䅑兡療䝁䄴䅌杁䡁䅑䅡祂䝁䄸兤湂䝁䅧䅉灂䡁䅑督杁䡁䅍兤楂䡁䅍兡歂䝁䅫兙祂䝁䅫党穂䍁䅷䅉求䝁䄴睚灂䝁䄴党求䡁䅉督杁䝁䅅杢歂䍁䅁兢桂䝁䄴兤浂䝁䅅睙あ䡁䅕杣求䡁䅍䅉桂䝁䅕杣療䝁䅕杢湂䝁䅫杢求䍁䅁兙畂䝁䅑䅉桂䝁䅕杣療䡁䅍䅤祂䡁䅕睙あ䡁䅕杣求䍁䅁睙療䝁䄰䅣療䝁䄴党畂䡁䅑督杁䝁䅙睢祂䍁䅁兙求䡁䅉睢穂䡁䅁兙橂䝁䅕䅉瑂䝁䅅杣牂䝁䅕䅤穂䍁䅁兡畂䍁䅁睑桂䝁䄴兙歂䝁䅅䅌杁䡁䅑䅡求䍁䅁兖畂䝁䅫䅤求䝁䅑䅉呂䡁䅑兙あ䝁䅕督獁䍁䅁兙畂䝁䅑䅉䙂䡁䅕杣療䡁䅁党畁䍁䅁䅖潂䝁䅕䅉橂䝁䄸兢睂䝁䅅杢㕂䍁䅁睢浂䝁䅙党祂䡁䅍䅉桂䝁䅕杣療䍁䅁党畂䝁䅣兡畂䝁䅕䅉睂䡁䅉睢歂䡁䅕睙あ䡁䅍䅌杁䡁䅍兤橂䝁䅧䅉桂䡁䅍䅉獂䝁䅅督求䡁䅉䅉㍂䝁䅕䅢歂䝁䅕䅚杁䝁䅧睢畂䝁䅕入橂䝁䄸兢楂䍁䅁兙畂䝁䅑䅉浂䝁䅫䅢桂䝁䄰党畂䡁䅑䅉㍂䝁䄸兤畂䝁䅑䅉あ䡁䅕杙求䡁䅍䅌杁䝁䅙杣桂䝁䄰党穂䍁䅷䅉橂䝁䄸兢睂䡁䅉党穂䡁䅍睢祂䍁䅁睙療䝁䄰䅣療䝁䄴党畂䡁䅑督獁䍁䅁杙㕂䡁䅁兙穂䡁䅍䅉歂䡁䅕睙あ䡁䅍䅌杁䝁䅧睢あ䍁䅁督求䝁䅍䅤灂䝁䄸杢杁䝁䅍睢瑂䡁䅁睢畂䝁䅕杢あ䡁䅍䅌杁䝁䅅杢歂䍁䅁兙求䡁䅉睢求䝁䄴睚灂䝁䄴党杁䝁䅅杢歂䍁䅁䅡求䝁䅷兡橂䝁䄸䅣あ䝁䅕杣杁䝁䅑杣灂䡁䅙党杁䡁䅍䅡桂䝁䅙䅤穂䍁䅷䅉桂䡁䅍䅉㍂䝁䅕䅢獂䍁䅁兙穂䍁䅁睢あ䝁䅧党祂䍁䅁杚獂䝁䅫睚潂䡁䅑䅉穂䝁䅅杚求䡁䅑入杁䝁䅍杣灂䡁䅑兡橂䝁䅅䅢杁䝁䄰兙橂䝁䅧兡畂䝁䅕䅚杁䝁䅍睢瑂䡁䅁睢畂䝁䅕杢あ䡁䅍䅌杁䝁䅫杢橂䝁䅷兤歂䝁䅫杢湂䍁䅁䅚灂䡁䅍睙穂䍁䅷䅉穂䝁䅕兙獂䡁䅍䅌杁䝁䅅杢歂䍁䅁督睂䝁䅅睙求䡁䅉督㝁䍁䅁兙畂䝁䅑䅉桂䝁䅕杣療䡁䅍䅤祂䡁䅕睙あ䡁䅕杣求䡁䅍䅉橂䝁䄸兢睂䡁䅉兡穂䝁䅫杢湂䍁䅁䅢桂䝁䄴䅚灂䝁䄴睚杁䝁䅣党桂䡁䅉䅉穂䡁䅫督あ䝁䅕兢穂䍁䅷䅉㍂䝁䅫杢湂䍁䅁杣灂䝁䅉督獁䍁䅁督睂䝁䅅杣穂䍁䅁兙畂䝁䅑䅉穂䝁䅳兡畂䡁䅍䅌杁䝁䅉兤獂䝁䅳䅡求䝁䅅䅚穂䍁䅁兙畂䝁䅑䅉浂䡁䅕督求䝁䅷兙湂䝁䅕䅉橂䝁䄸兢睂䝁䄸杢求䝁䄴䅤穂䍁䅷䅉あ䝁䅅兡獂䝁䅍睢畂䝁䅕䅉桂䡁䅍督求䝁䄰杙獂䝁䅫党穂䍁䅷䅉橂䝁䄸兢睂䝁䄸督灂䡁䅑党杁䡁䅣兡畂䝁䅣䅉桂䝁䄴䅚杁䝁䅙兙灂䡁䅉兡畂䝁䅣䅉穂䡁䅑杣ㅂ䝁䅍䅤ㅂ䡁䅉党穂䍁䅷䅉潂䝁䄸杣灂䡁䅯睢畂䡁䅑兙獂䍁䅁兙畂䝁䅑䅉㉂䝁䅕杣あ䝁䅫睙桂䝁䅷䅉穂䡁䅑兙楂䝁䅫䅢灂䡁䅯党祂䡁䅍䅌杁䡁䅁䅢ㅂ䝁䅣䅉桂䝁䄴䅚杁䝁䄴睢㙂䡁䅯䅢求䍁䅷䅉求䡁䅧䅡桂䡁䅕督あ䍁䅁督㕂䡁䅍䅤求䝁䄰督獁䍁䅁睙祂䝁䄸睤畂䍁䅁兢療䝁䅑兤獂䝁䅕督獁䍁䅁兙畂䝁䅑䅉㉂䝁䅅杢求䍁䅁杙療䡁䅧党穂䍁䅁兙畂䝁䅑䅉あ䡁䅉兙畂䡁䅍兡あ䝁䅫睢畂䍁䅁䅚ㅂ䝁䅍䅤穂䍁䄴䅉䩂䡁䅑䅉桂䝁䅷督療䍁䅁䅚求䡁䅍兡湂䝁䄴督獁䍁䅁党畂䝁䅣兡畂䝁䅕党祂䡁䅍䅌杁䝁䅅杢歂䍁䅁兢桂䝁䄴兤浂䝁䅅睙あ䡁䅕杣求䡁䅍䅉桂䡁䅍督求䝁䄰杙獂䝁䅫党穂䍁䅁兙畂䝁䅑䅉橂䝁䄸兢睂䝁䄸杢求䝁䄴䅤穂䍁䅷䅉穂䡁䅕睙潂䍁䅁兙穂䍁䅁督あ䝁䅅睚求䍁䅁杣療䝁䅍睡求䡁䅑䅉瑂䝁䄸䅤療䡁䅉督獁䍁䅁督療䝁䅷兡歂䍁䅁䅣祂䝁䄸䅣求䝁䅷䅢桂䝁䄴䅤杁䡁䅉睢橂䝁䅳党あ䍁䅁兢療䡁䅑睢祂䡁䅍䅌杁䝁䅅杢歂䍁䅁杣療䝁䅍睡求䡁䅑䅉㍂䝁䅕兙睂䝁䄸杢杁䡁䅍入穂䡁䅑党瑂䡁䅍睏杁䡁䅣兡祂䝁䅕䅉穂䡁䅑杣灂䝁䅳党杁䡁䅁杣療䡁䅑党橂䡁䅑兡療䝁䄴䅉穂䡁䅫督あ䝁䅕兢穂䍁䅁杚療䡁䅉䅉潂䝁䅕䅢灂䝁䅍睢睂䡁䅑党祂䍁䅁督桂䝁䅙党あ䡁䅫睏杁䡁䅍䅣桂䝁䅍党杁䡁䅍睢獂䡁䅕䅤灂䝁䄸杢穂䍁䅷䅉灂䝁䄴睙獂䡁䅕䅚灂䝁䄴睚杁䡁䅍兢桂䝁䅷䅢杁䡁䅍兙あ䝁䅕䅢獂䝁䅫䅤求䍁䅁杙ㅂ䡁䅍䅉睂䝁䅷兙あ䝁䅙睢祂䝁䄰督杁䝁䅅杢歂䍁䅁督桂䡁䅑党獂䝁䅷兡あ䝁䅕䅉穂䡁䅕杙穂䡁䅫督あ䝁䅕兢杁䝁䅕兣ㅂ䝁䅫䅣瑂䝁䅕杢あ䍁䅷䅉桂䡁䅍䅉㍂䝁䅕䅢獂䍁䅁兙穂䍁䅁睢浂䝁䅙党祂䡁䅍䅉穂䝁䅕杣㉂䝁䅫睙求䡁䅍䅉浂䝁䄸杣杁䡁䅍兙あ䝁䅕䅢獂䝁䅫䅤求䍁䅁兙穂䡁䅍党瑂䝁䅉䅢㕂䍁䅷䅉灂䝁䄴䅤求䝁䅣杣桂䡁䅑兡療䝁䄴䅌杁䝁䅅杢歂䍁䅁䅤求䡁䅍䅤灂䝁䄴睚㝁䍁䅁兙畂䝁䅑䅉桂䝁䅷兤瑂䝁䅫杢ㅂ䝁䄰䅉桂䝁䄴䅚杁䝁䄰兙湂䝁䄴党穂䝁䅫兤瑂䍁䅁兙獂䝁䅷睢㕂䍁䅁督桂䝁䄴䅚杁䝁䅍兙穂䡁䅑兡畂䝁䅣督獁䍁䅁督ㅂ䝁䅍䅡杁䝁䅅督杁䝁䅕杢湂䝁䅫杢求䍁䅁兢療䡁䅕杢あ䝁䅕䅚杁䝁䅅睙橂䝁䅕督穂䝁䄸杣㕂䍁䅁睚求䝁䅅杣楂䝁䄸䅥杁䝁䅧睢ㅂ䡁䅍兡畂䝁䅣督獁䍁䅁䅡求䝁䅷兡橂䝁䄸䅣あ䝁䅕杣杁䡁䅁睢㍂䝁䅕杣杁䡁䅑杣桂䝁䄴督瑂䝁䅫督穂䝁䅫睢畂䍁䅁䅡療䡁䅕督灂䝁䄴睚穂䍁䅷䅉桂䡁䅕䅥灂䝁䅷兡桂䡁䅉入杁䡁䅁睢㍂䝁䅕杣杁䡁䅕杢灂䡁䅑䅉灂䝁䄴䅢求䡁䅑䅉桂䝁䄴䅚杁䝁䅣党桂䡁䅉杙療䡁䅧䅉潂䝁䄸兤穂䝁䅫杢湂䡁䅍䅌杁䝁䅕杢湂䝁䅫杢求䍁䅁杚祂䝁䄸杢あ䍁䅁兡畂䝁䅷党あ䍁䅁兙畂䝁䅑䅉灂䝁䄴䅤求䡁䅉兢求䝁䅑兡桂䡁䅑党杁䝁䅍兙穂䝁䅕督獁䍁䅁党畂䝁䅣兡畂䝁䅕䅉浂䡁䅉睢畂䡁䅑䅉浂䡁䅉兙瑂䝁䅕督杁䝁䅅杢歂䍁䅁杚桂䝁䄴䅉橂䝁䅅督求䡁䅍䅌杁䡁䅁兤瑂䡁䅁䅉桂䝁䄴䅚杁䝁䅅睙橂䝁䅕督穂䝁䄸杣㕂䍁䅁䅚祂䝁䅫杤求䍁䅁䅡療䡁䅕督灂䝁䄴睚穂䍁䅷䅉桂䝁䄴䅚杁䝁䅕杢㉂䝁䅫杣療䝁䄴兢求䝁䄴䅤桂䝁䅷䅉橂䝁䄸杢あ䡁䅉睢獂䍁䅁䅡療䡁䅕督灂䝁䄴睚穂䍁䄴䅉䩂䝁䄴䅉桂䝁䅑䅚灂䡁䅑兡療䝁䄴䅌杁䡁䅑䅡求䍁䅁睙療䝁䄰䅣桂䝁䄴入杁䝁䄸杚浂䝁䅕杣穂䍁䅁兢桂䝁䅫杢あ䝁䅕杢桂䝁䄴睙求䍁䅷䅉祂䝁䅕䅣桂䝁䅫杣獁䍁䅁兙畂䝁䅑䅉療䡁䅙党祂䝁䅧兙ㅂ䝁䅷䅉浂䝁䄸杣杁䡁䅙兙祂䝁䅫睢ㅂ䡁䅍䅉求䝁䄴睚灂䝁䄴党杁䝁䅅杢歂䍁䅁睙療䝁䄰䅣療䝁䄴党畂䡁䅑督杁䕁䄰杕偂䍁䅷䅉桂䡁䅍䅉㍂䝁䅕䅢獂䍁䅁兙穂䍁䅁䅢灂䝁䅙党橂䡁䅫睙獂䝁䅕䅉瑂䝁䅅杢桂䝁䅣党瑂䝁䅕杢あ䍁䅁督求䡁䅉杤灂䝁䅍党穂䍁䅁䅤療䍁䅁䅢療䝁䅣兡穂䡁䅑兡橂䡁䅍䅌杁䝁䅙䅢求䝁䅕䅤杁䝁䄰兙畂䝁䅅睚求䝁䄰党畂䡁䅑䅌杁䝁䅅杢歂䍁䅁党畂䝁䅣兡畂䝁䅕党祂䝁䅫杢湂䍁䅁督求䡁䅉杤灂䝁䅍党穂䍁䄴䅉乂䝁䅅睚求䝁䅷䅢桂䝁䄴䅉䉂䝁䅕杣療䡁䅍䅣桂䝁䅍党杁䕁䅍睢祂䡁䅁睢祂䝁䅅䅤灂䝁䄸杢杁䡁䅣兙穂䍁䅁兡畂䝁䅍睢祂䡁䅁睢祂䝁䅅䅤求䝁䅑䅉灂䝁䄴䅉硁䑁䅫兏㉁䍁䅁兙畂䝁䅑䅉灂䡁䅍䅉潂䝁䅕兙歂䡁䅅兤桂䡁䅉䅤求䡁䅉党歂䍁䅁兡畂䍁䅁兔灂䡁䅍督灂䡁䅍督桂䡁䅕睚桂䍁䅷䅉䑂䝁䅅杢桂䝁䅑兙畁䅁䅁䄲䅁䍁䅑䅁偂䡁䅁䅤灂䝁䄸杢穂䑁䅯䅉䑂䡁䅕杣祂䑁䄰睑䉂䕁䅑䅁奂䅁䅁䅢䄰䕁䄰兙湂䝁䄴兙杁䕁䅫杢あ䝁䅕杣畂䝁䅅䅤灂䝁䄸杢桂䝁䅷䅉䩂䝁䄴睙畁䍁䅁䅚求䡁䅍兡湂䝁䄴督獁䍁䅁党畂䝁䅣兡畂䝁䅕党祂䡁䅍䅌杁䝁䅅杢歂䍁䅁兢桂䝁䄴兤浂䝁䅅睙あ䡁䅕杣求䡁䅍䅉橂䝁䄸兢睂䝁䄸杢求䝁䄴䅤穂䍁䅷䅉桂䡁䅍督求䝁䄰杙獂䝁䅫党穂䍁䅷䅉穂䡁䅫督あ䝁䅕兢穂䍁䅷䅉穂䡁䅕杙穂䡁䅫督あ䝁䅕兢穂䍁䅷䅉桂䝁䄴䅚杁䝁䄰睢歂䡁䅕䅢求䡁䅍䅉浂䝁䄸杣杁䝁䄸杣灂䝁䅣兡畂䝁䅅䅢杁䝁䅕兣ㅂ䝁䅫䅣瑂䝁䅕杢あ䍁䅁兢桂䝁䄴兤浂䝁䅅睙あ䡁䅕杣求䡁䅉督杁䝁䄸杚杁䡁䅙党潂䝁䅫睙獂䝁䅕督杁䝁䅅杢歂䍁䅁䅢灂䝁䅣䅡あ䍁䅁䅤祂䡁䅕睙牂䡁䅍䅉㍂䝁䄸杣獂䝁䅑睤灂䝁䅑党畁䍁䅁兓あ䍁䅁睢睂䝁䅕杣桂䡁䅑党穂䍁䅁䅤潂䡁䅉睢ㅂ䝁䅣䅡杁䝁䅙睢ㅂ䡁䅉䅉穂䝁䅕睚瑂䝁䅕杢あ䡁䅍杏杁䕁䅉睢歂䡁䅫䅉䙂䡁䅧䅤求䡁䅉兡療䡁䅉督杁䍁䅙䅉呂䡁䅑杣ㅂ䝁䅍䅤ㅂ䡁䅉党穂䍁䅷䅉兂䝁䄸睤求䡁䅉䅉流䍁䅁杖灂䡁䅍兡療䝁䄴䅌杁䙁䅍党桂䡁䅑兡畂䝁䅣䅉呂䡁䅫督あ䝁䅕兢穂䍁䅷䅉桂䝁䄴䅚杁䕁䅍睢瑂䡁䅁䅢求䡁䅑党杁䙁䅙党潂䝁䅫睙獂䝁䅕督畁䍁䅁䅖潂䝁䅕䅉䍂䝁䄸䅚㕂䍁䅁兒㑂䡁䅑党祂䝁䅫睢祂䡁䅍䅉流䍁䅁睕あ䡁䅉兤橂䡁䅑兤祂䝁䅕督杁䡁䅍党湂䝁䄰党畂䡁䅑䅉睂䡁䅉睢㉂䝁䅫䅚求䡁䅍䅉楂䝁䄸䅚㕂䍁䅁兙畂䝁䅑䅉橂䝁䅧兙穂䡁䅍兡穂䍁䅁督㕂䡁䅍䅤求䝁䄰䅌杁䝁䅉兙あ䡁䅑党祂䡁䅫䅉求䝁䄴睙獂䝁䄸督ㅂ䡁䅉党穂䍁䅷䅉桂䝁䄴䅚杁䝁䅕杢湂䝁䅫杢求䝁䅕杣灂䝁䄴睚杁䝁䅅杢歂䍁䅁䅤求䡁䅍䅤灂䝁䄴睚㝁䍁䅁兙畂䝁䅑䅉求䡁䅧䅤求䡁䅉兡療䡁䅉督獁䍁䅁兡畂䝁䅍䅢ㅂ䝁䅑兡畂䝁䅣䅉浂䝁䅅督橂䝁䅫兙杁䝁䅅杢歂䍁䅁䅤祂䝁䅫兢穂䍁䅷䅉浂䡁䅉睢畂䡁䅑䅉求䝁䄴䅚杁䝁䄰睢歂䡁䅕䅢求䡁䅍䅌杁䝁䅫杢あ䝁䅕睚祂䝁䅅䅤灂䝁䄸杢杁䡁䅁兙畂䝁䅕䅢穂䍁䅷䅉獂䝁䅫杚あ䝁䅣兙あ䝁䅕䅉瑂䝁䄸䅚ㅂ䝁䅷党穂䍁䅷䅉桂䝁䅍䅤灂䡁䅙党杁䝁䅅党祂䝁䄸䅚㕂䝁䄴兙瑂䝁䅫睙穂䍁䅷䅉求䝁䄴睚灂䝁䄴党求䡁䅉党歂䍁䅁睚獂䝁䅅督穂䍁䅷䅉祂䡁䅕杢畂䝁䅫杢湂䍁䅁杙療䝁䅅杣歂䡁䅍䅌杁䡁䅑杣ㅂ䝁䅍睡杁䝁䅉党歂䍁䅁兙橂䝁䅍党穂䡁䅍䅉睂䡁䅉睢歂䡁䅕睙あ䡁䅍䅌杁䝁䅉杣求䝁䅅睡あ䝁䅧杣療䡁䅕睚潂䍁䅁䅢灂䝁䅣䅡あ䝁䅫杢湂䡁䅍䅌杁䡁䅍兡歂䝁䅕䅉歂䝁䄸睢祂䡁䅍䅌杁䝁䅅杢歂䍁䅁睚祂䝁䅕党畂䝁䅧睢ㅂ䡁䅍党杁䡁䅁杣療䝁䅑兤橂䡁䅑督畁䍁䅁䅖潂䝁䅕䅉兂䝁䄸睤求䡁䅉䅉流䍁䅁杖灂䡁䅍兡療䝁䄴䅉穂䝁䅕睚瑂䝁䅕杢あ䍁䅁睢浂䝁䅙党祂䡁䅍䅉求䝁䅷党橂䡁䅑杣灂䝁䅍䅉歂䡁䅉兡㉂䝁䅕䅉穂䡁䅫督あ䝁䅕兢穂䍁䅁兙畂䝁䅑䅉橂䝁䄸兢睂䝁䄸杢求䝁䄴䅤穂䍁䅷䅉穂䡁䅕睙潂䍁䅁兙穂䍁䅁党瑂䝁䄸䅤療䡁䅉督獁䍁䅁兡畂䡁䅙党祂䡁䅑党祂䡁䅍䅌杁䝁䄸杢楂䝁䄸兙祂䝁䅑䅉橂䝁䅧兙祂䝁䅣党祂䡁䅍䅌杁䝁䅣党桂䡁䅉杙療䡁䅧党穂䍁䅷䅉桂䝁䄴䅚杁䝁䅕兌橂䝁䅷兤あ䝁䅍䅡㝁䍁䅁䅚求䝁䅑兡橂䝁䅅䅤求䝁䅑䅉潂䡁䅫杙祂䝁䅫䅚杁䝁䅑杣灂䡁䅙党穂䍁䅷䅉歂䡁䅕兙獂䍁䅁兙畂䝁䅑䅉潂䡁䅫杙祂䝁䅫䅚杁䝁䅑兤桂䝁䅷䅉橂䝁䅷兤あ䝁䅍䅡獁䍁䅁兙畂䝁䅑䅉瑂䝁䅅杢ㅂ䝁䅅䅢杁䡁䅑杣桂䝁䄴督瑂䝁䅫督穂䝁䅫睢畂䡁䅍睏杁䕁䅅睖䕂䍁䄸䅎塂䕁䅑䅉睂䡁䅉睢歂䡁䅕睙あ䡁䅍䅉桂䝁䄴䅚杁䡁䅉党桂䡁䅉䅉歂䡁䅉兡㉂䝁䅕䅉瑂䝁䄸䅚ㅂ䝁䅷党穂䑁䅳䅉あ䡁䅉兙畂䡁䅍兢灂䡁䅍督灂䝁䄸杢獁䍁䅁䅚祂䝁䅫杤求䝁䅷兡畂䝁䅕䅉橂䝁䄸兢睂䝁䄸杢求䝁䄴䅤穂䍁䅷䅉桂䝁䄴䅚杁䕁䅫睑䙂䑁䅳䅉浂䝁䅅杣杁䝁䅍兙瑂䝁䅕杣桂䍁䅁兢療䝁䅑兤獂䝁䅕䅌杁䡁䅉党瑂䝁䄸䅤求䍁䅁睙桂䝁䄰党祂䝁䅅䅉潂䝁䅕兙歂䡁䅍䅌杁䝁䅫杢あ䝁䅕杣灂䝁䄸杣杁䡁䅍党畂䡁䅍兡畂䝁䅣䅉橂䝁䅅兢求䡁䅉兙獁䍁䅁杣桂䝁䅑兙祂䡁䅍䅌杁䡁䅑䅡求䡁䅉兢桂䝁䅷䅉穂䝁䅕杢穂䝁䅫杢湂䍁䅷䅉桂䝁䄴䅚杁䝁䅑睢瑂䝁䅅兡畂䍁䅁睙療䝁䄴䅤祂䝁䄸䅢獂䝁䅕杣穂䑁䅳䅉灂䝁䄴䅤求䡁䅉兡療䡁䅉䅉桂䝁䄴䅚杁䝁䅕䅥あ䝁䅕杣灂䝁䄸杣杁䝁䄰兡祂䡁䅉睢祂䡁䅍䅌杁䝁䅍兙瑂䝁䅕杣桂䍁䅁兢療䝁䄴兡あ䝁䄸杣灂䝁䄴睚杁䡁䅍入穂䡁䅑党瑂䍁䅁䅚祂䝁䅫杤求䡁䅉睌療䝁䅍睙ㅂ䡁䅁兙畂䡁䅑䅉瑂䝁䄸杢灂䡁䅑睢祂䝁䅫杢湂䍁䅁督㕂䡁䅍䅤求䝁䄰督獁䍁䅁兙畂䝁䅑䅉穂䝁䄰兙祂䡁䅑䅉桂䝁䅍䅤ㅂ䝁䅅䅤療䡁䅉督㝁䍁䅁杚療䡁䅉睤桂䡁䅉䅚杁䝁䅅杢歂䍁䅁杣求䝁䅅杣杁䝁䅷兡湂䝁䅧䅤灂䝁䄴睚獁䍁䅁兙畂䝁䅑䅉獂䝁䅫䅤杁䝁䅣杣灂䝁䅷䅢求䡁䅍睌睂䝁䅅杢求䝁䅷督癁䝁䅑兡穂䡁䅁䅢桂䡁䅫督㝁䍁䅁䅢桂䡁䅑睙潂䝁䅫杢湂䍁䅁督㕂䡁䅍䅤求䝁䄰䅌杁䝁䅑睢療䡁䅉䅉瑂䝁䄸䅚ㅂ䝁䅷党穂䍁䅷䅉橂䝁䅧兙祂䝁䅣党杁䡁䅁睢祂䡁䅑䅉歂䝁䄸睢祂䡁䅍䅌杁䡁䅁睢㍂䝁䅕杣杁䡁䅍入穂䡁䅑党瑂䍁䅷䅉潂䝁䅫杢湂䝁䅕督獁䍁䅁兙畂䝁䅑䅉歂䝁䄸睢祂䍁䅁䅡桂䝁䄴䅚獂䝁䅕督㝁䍁䅁兙畂䝁䅑䅉瑂䝁䄸䅚ㅂ䝁䅷兙祂䍁䅁兙畂䝁䅑䅉あ䝁䅕䅥あ䝁䅫䅢求䍁䅁杚療䝁䅷䅚灂䝁䄴睚杁䡁䅉睢療䝁䅙督獁䍁䅁兙畂䝁䅑䅉潂䝁䅅杣歂䍁䅁兙畂䝁䅑䅉穂䝁䄸杚あ䍁䅁䅤療䡁䅁督畁䍁䅁䅖潂䝁䅕䅉呂䝁䅕兙あ䝁䅫杢湂䍁䅁睕㕂䡁䅍䅤求䝁䄰督杁䡁䅍党湂䝁䄰党畂䡁䅑䅉睂䡁䅉睢㉂䝁䅫䅚求䡁䅍䅉穂䝁䅕兙あ䍁䅁督あ䡁䅉兤橂䡁䅑兤祂䝁䅕督獁䍁䅁兢求䝁䅍䅡桂䝁䄴兡穂䝁䄰䅉桂䝁䄴䅚杁䝁䅧兙祂䝁䅑睤桂䡁䅉党杁䡁䅍睢獂䡁䅕䅤灂䝁䄸杢穂䍁䅷䅉桂䝁䄴䅚杁䝁䅙睢桂䝁䄰䅉桂䝁䄴䅚杁䡁䅑杣灂䝁䄰䅉睂䡁䅉睢歂䡁䅕睙あ䡁䅍杌杁䙁䅑䅡求䍁䅁睑療䝁䄰䅣獂䝁䅕䅤求䍁䅁杖求䝁䅧兡橂䝁䅷党穂䍁䅁督求䝁䅣兢求䝁䄴䅤杁䝁䄸杚浂䝁䅕杣穂䍁䅁杤求䝁䅧兡橂䝁䅷党杁䝁䅕杢湂䝁䅫杢求䝁䅕杣灂䝁䄴睚杁䝁䅅杢歂䍁䅁兢桂䝁䄴兤浂䝁䅅睙あ䡁䅕杣灂䝁䄴睚杁䡁䅍党祂䡁䅙兡橂䝁䅕督畁䍁䅁兔桂䝁䅣杢桂䍁䅁兓畂䡁䅑党祂䝁䄴兙あ䝁䅫睢畂䝁䅅䅢杁䕁䅫杢橂䍁䄴䅉㍂䝁䅅督杁䝁䅙睢ㅂ䝁䄴䅚求䝁䅑䅉灂䝁䄴䅉硁䑁䅫兎㍁䍁䅁兙畂䝁䅑䅉灂䡁䅍䅉潂䝁䅕兙歂䡁䅅兤桂䡁䅉䅤求䡁䅉党歂䍁䅁兡畂䍁䅁兑ㅂ䡁䅉睢祂䝁䅅䅌杁䕁䅍兙畂䝁䅅䅚桂䍁䄴䅁杄䅁䅁杁䅧䕁䄰兙祂䡁䅑兡畂䡁䅉党桂䍁䅁兓畂䡁䅑党祂䝁䄴兙あ䝁䅫睢畂䝁䅅䅢杁䕁䅫杢橂䍁䄴䅉求䝁䄴睚桂䝁䅣党穂䍁䅁兡畂䍁䅁䅤潂䝁䅕䅉歂䝁䅕督灂䝁䅣杢獁䍁䅁䅚求䡁䅙党獂䝁䄸䅣瑂䝁䅕杢あ䍁䅷䅉桂䝁䄴䅚杁䝁䄰兙畂䡁䅕杚桂䝁䅍䅤ㅂ䡁䅉兡畂䝁䅣䅉療䝁䅙䅉求䝁䄴睚灂䝁䄴党求䡁䅉党歂䍁䅷䅉㉂䝁䅅䅢ㅂ䝁䅕兌桂䝁䅑䅚求䝁䅑䅉獂䝁䅫睚潂䡁䅑睤求䝁䅫睚潂䡁䅑䅉穂䡁䅑杣ㅂ䝁䅍䅤ㅂ䡁䅉党穂䍁䅁兙畂䝁䅑䅉睂䡁䅉睢睂䡁䅕䅢穂䝁䅫睢畂䍁䅁督㕂䡁䅍䅤求䝁䄰督杁䡁䅣睢祂䝁䅷䅚㍂䝁䅫䅚求䍁䄴䅉䩂䡁䅑䅉療䝁䅙杚求䡁䅉督杁䝁䅷兡湂䝁䅧䅤㍂䝁䅕兡湂䝁䅧䅤杁䡁䅍䅤祂䡁䅕睙あ䡁䅕杣求䍁䅁䅣祂䝁䄸䅚ㅂ䝁䅍䅤穂䍁䅷䅉灂䝁䄴睙獂䡁䅕䅚灂䝁䄴睚杁䝁䅳杢ㅂ䝁䅍睡獂䝁䅕督癁䝁䅍睢畂䡁䅑杣療䝁䅷䅉桂䡁䅉兢穂䍁䄸䅢灂䝁䄴睡穂䑁䅳䅉穂䡁䅕杙浂䡁䅉兙瑂䝁䅕督杁䝁䅫杢あ䝁䅕睚祂䝁䅅䅢癁䝁䅙兙楂䡁䅉兡橂䝁䅅䅤求䝁䅑䅉睂䡁䅉睢歂䡁䅕睙あ䡁䅍睏杁䝁䅍睢瑂䡁䅁䅢求䡁䅧䅉桂䡁䅍督求䝁䄰杙獂䝁䅫党穂䑁䅳䅉楂䝁䄸䅚㕂䍁䅁督あ䡁䅉兤橂䡁䅑兤祂䝁䅕督㝁䍁䅁党㑂䡁䅑党祂䝁䅫睢祂䍁䅁䅤祂䝁䅫兢穂䑁䅳䅉桂䝁䄴䅚杁䡁䅑杣桂䝁䅫䅢求䡁䅉䅉潂䝁䅫䅤橂䝁䅧党穂䍁䄴䅉啂䝁䅧党杁䝁䅍睢瑂䡁䅁兙畂䡁䅫䅉桂䝁䅷督療䍁䅁䅣祂䝁䄸杤灂䝁䅑党穂䍁䅁党畂䝁䅣兡畂䝁䅕䅉楂䝁䅷睢橂䝁䅳督㝁䍁䅁䅤祂䝁䅅杢穂䝁䄰兡穂䡁䅍兡療䝁䄴䅉潂䝁䄸兤穂䝁䅫杢湂䡁䅍睏杁䝁䅣杣桂䡁䅁䅡求䝁䄴党杁䝁䅅杢歂䍁䅁杢㕂䝁䅷睢畂䍁䅁睙療䝁䅅䅤求䝁䅑䅉楂䡁䅉兙牂䝁䅕䅉獂䝁䅫杢求䡁䅍睏杁䝁䅙䅢ㅂ䝁䅫䅚杁䝁䅅杢歂䍁䅁䅤潂䝁䅕杣瑂䝁䅅䅢杁䡁䅁杣療䝁䅑兤橂䡁䅑䅌杁䡁䅍兤橂䝁䅧䅉桂䡁䅍䅉浂䡁䅕党獂䍁䅁杚灂䝁䅷䅢求䡁䅉䅉睂䝁䅫䅣求䡁䅍䅌杁䝁䅉杣桂䝁䅳党杁䝁䅷兡畂䝁䅕督獁䍁䅁兙畂䝁䅑䅉あ䝁䅧党祂䝁䄰兙獂䍁䅁兢桂䝁䄴兙湂䝁䅕兢求䝁䄴䅤杁䝁䅍睢瑂䡁䅁睢畂䝁䅕杢あ䡁䅍杌杁䕁䅫杢杁䝁䅅䅚歂䝁䅫䅤灂䝁䄸杢獁䍁䅁䅤潂䝁䅕䅉橂䝁䄸兢睂䝁䅅杢㕂䍁䅁睢浂䝁䅙党祂䡁䅍䅉浂䝁䅷党㑂䝁䅫杙獂䝁䅕䅉瑂䝁䅅杢ㅂ䝁䅙兙橂䡁䅑兤祂䝁䅫杢湂䍁䅁䅣祂䝁䄸䅚ㅂ䝁䅍䅤穂䍁䅁睙療䝁䄰䅣祂䝁䅫督灂䝁䄴睚杁䝁䅙杣療䝁䄴䅤杁䝁䅅杢歂䍁䅁杣求䝁䅅杣杁䡁䅍兤穂䡁䅁党畂䡁䅍兡療䝁䄴䅉瑂䝁䄸䅚ㅂ䝁䅷党穂䍁䅷䅉浂䡁䅉睢畂䡁䅑䅉㉂䝁䅕杣あ䝁䅫睙桂䝁䅷䅉橂䝁䄸杣畂䝁䅕杣杁䝁䄰睢歂䡁䅕䅢求䡁䅍䅌杁䝁䅉兤穂䍁䅁杚祂䝁䅅兢求䍁䅁兙穂䡁䅍党瑂䝁䅉䅢灂䝁䅕督獁䍁䅁督あ䡁䅉兤橂䡁䅑兤祂䝁䅅䅢杁䡁䅁兙祂䡁䅑督杁䝁䅅杢歂䍁䅁杚桂䝁䅉杣灂䝁䅍兙あ䝁䅫睢畂䡁䅍䅌杁䝁䅅杢歂䍁䅁兢求䡁䅑兙獂䝁䅷兡橂䍁䅁䅤桂䝁䄴睡穂䍁䅁兙畂䝁䅑䅉祂䝁䅕督求䡁䅉杤療䝁䅫杣穂䍁䄴䅉啂䝁䅧党杁䝁䅍睢瑂䡁䅁兙畂䡁䅫䅉㍂䝁䅅督杁䝁䅙睢祂䝁䄰党祂䝁䅷入杁䝁䅳杢療䡁䅣杢杁䝁䅅督杁䙁䅉睢㕂䝁䅅䅢杁䕁䅷兙穂䝁䅕杣杁䙁䅑党橂䝁䅧䅉䑂䝁䄸杣睂䝁䄸杣桂䡁䅑兡療䝁䄴䅉桂䝁䄴䅚杁䝁䅍䅡桂䝁䄴睚求䝁䅑䅉灂䡁䅑督杁䝁䄴兙瑂䝁䅕䅉あ䝁䄸䅉乂䝁䅅杣あ䝁䅫杢祂䝁䅕兙杁䕁䅫杢あ䝁䅕杣畂䝁䅅䅤灂䝁䄸杢桂䝁䅷䅉䩂䝁䄴睙畁䍁䅁兡畂䍁䅁杓ㅂ䝁䄴党杁䑁䅉䅍睁䑁䅉杌杁䕁䄰兙祂䡁䅑兡畂䡁䅉党桂䍁䅁兓畂䡁䅑党祂䝁䄴兙あ䝁䅫睢畂䝁䅅䅢杁䕁䅫杢橂䍁䄴䅉㍂䝁䅅督杁䝁䅫杢橂䝁䄸杣睂䝁䄸杣桂䡁䅑党歂䍁䅁兡畂䍁䅁免㕁䑁䅧睎杁䝁䅅杢歂䍁䅁兡穂䍁䅁䅡求䝁䅅䅚硂䡁䅕兙祂䡁䅑党祂䝁䅕䅚杁䝁䅫杢杁䙁䅙兙ㅂ䝁䅣䅡桂䝁䄴䅌杁䕁䅍兙畂䝁䅅䅚桂䍁䄴䅁桄䅁䅁杺䅷䕁䄴杖ㅁ䍁䅁睒獂䝁䄸杙桂䝁䅷䅌杁䕁䅫杢橂䍁䄴䅉睂䡁䅉睢㉂䝁䅫䅚求䡁䅍䅉求䝁䄴睚灂䝁䄴党求䡁䅉兡畂䝁䅣䅉歂䝁䅕督灂䝁䅣杢獁䍁䅁兙穂䡁䅍党あ䍁䅁兢桂䝁䄴兙湂䝁䅕兢求䝁䄴䅤獁䍁䅁兙畂䝁䅑䅉湂䝁䅕睢穂䡁䅁兙あ䝁䅫兙獂䍁䅁䅚桂䡁䅑兙杁䝁䅅杢桂䝁䅷入あ䝁䅫睙穂䍁䅁䅤療䍁䅁督ㅂ䡁䅁䅣療䡁䅉䅤杁䝁䅫杢浂䡁䅉兙穂䡁䅑杣ㅂ䝁䅍䅤ㅂ䡁䅉党杁䡁䅉党穂䝁䅫䅢灂䝁䅕杢橂䝁䅕䅉桂䝁䄴䅚杁䝁䅉兤灂䝁䅷䅚灂䝁䄴睚杁䡁䅍入穂䡁䅑党瑂䡁䅍䅉睂䝁䅕杣浂䝁䄸杣瑂䝁䅅杢橂䝁䅕䅉あ䝁䅧杣療䡁䅕睚潂䝁䄸兤あ䍁䅁䅤潂䝁䅕䅉求䝁䄴䅤灂䡁䅉党杁䝁䅅督穂䝁䅕䅤杁䝁䅷兡浂䝁䅕睙㕂䝁䅍䅢求䍁䄴䅉啂䝁䅧党杁䝁䅍睢瑂䡁䅁兙畂䡁䅫䅉療䝁䅙杚求䡁䅉督杁䝁䅫杢浂䡁䅉兙穂䡁䅑杣ㅂ䝁䅍䅤ㅂ䡁䅉党杁䡁䅍兤睂䡁䅁睢祂䡁䅑䅉穂䝁䅕杣㉂䝁䅫睙求䡁䅍䅌杁䡁䅍兤橂䝁䅧䅉桂䡁䅍䅉祂䝁䅕督灂䝁䅷兡求䝁䄴睙㕂䍁䅁兙畂䝁䅑䅉穂䡁䅕督あ䝁䅅兡畂䝁䅅杙灂䝁䅷兡あ䡁䅫䅌杁䡁䅕䅤灂䝁䅷兡あ䡁䅫䅉穂䝁䅕杣㉂䝁䅫睙求䡁䅍䅉桂䝁䄴䅚杁䡁䅁睢㍂䝁䅕杣獁䍁䅁䅤祂䝁䅅杢穂䡁䅁睢祂䡁䅑兙あ䝁䅫睢畂䍁䅷䅉㍂䝁䅅䅤求䡁䅉䅌杁䝁䅍睢畂䝁䅙睢祂䝁䄰兡あ䡁䅫䅉桂䡁䅍督求䡁䅍督瑂䝁䅕杢あ䍁䅷䅉楂䡁䅕兡獂䝁䅑兡畂䝁䅣䅉歂䝁䅕督灂䝁䅣杢杁䝁䅅杢歂䍁䅁䅢桂䝁䄴䅚杁䝁䅑党㉂䝁䅕䅢療䡁䅁兢求䝁䄴䅤獁䍁䅁党畂䡁䅙兡祂䝁䄸杢瑂䝁䅕杢あ䝁䅅䅢杁䝁䅷兙畂䝁䅑督橂䝁䅅䅣求䍁䅁兙祂䝁䅍䅡灂䡁䅑党橂䡁䅑兤祂䝁䅕䅉桂䝁䄴䅚杁䡁䅕杣楂䝁䅅杢杁䝁䅑党穂䝁䅫睚畂䍁䅷䅉桂䝁䄴䅚杁䡁䅍兤祂䡁䅙党㕂䝁䅫杢湂䍁䅁兙畂䝁䅑䅉瑂䝁䅅䅣睂䝁䅫杢湂䑁䅳䅉桂䝁䄴䅚杁䝁䅉兤灂䝁䅷䅚灂䝁䄴睚穂䍁䅁兙畂䝁䅑䅉あ䝁䅕睙潂䝁䄴睢獂䝁䄸睚㕂䍁䅁督求䡁䅉杤灂䝁䅍党穂䍁䅷䅉穂䡁䅕睙潂䍁䅁兙穂䍁䅁䅚桂䡁䅑兙杁䝁䅍党畂䡁䅑党祂䍁䅁兙畂䝁䅑䅉瑂䝁䅫督穂䝁䅫睢畂䍁䄰睙祂䝁䅫䅤灂䝁䅍兙獂䍁䅷䅉橂䝁䅷党桂䝁䄴䅉求䝁䄴党祂䝁䅣入獁䍁䅁睙療䝁䄰兢灂䡁䅍督灂䝁䄸杢灂䝁䄴睚杁䝁䅅杢歂䍁䅁督瑂䝁䅅杣あ䍁䅁杙ㅂ䝁䅫䅢歂䝁䅫杢湂䍁䅁督療䝁䅷兤あ䝁䅫睢畂䡁䅍䅌杁䝁䅑兡湂䝁䅫䅤桂䝁䅷䅉楂䡁䅕兡獂䝁䅑兡畂䝁䅣督獁䍁䅁杚灂䡁䅉党杁䡁䅁杣療䡁䅑党橂䡁䅑兡療䝁䄴䅉桂䝁䄴䅚杁䝁䅷兡浂䝁䅕䅉穂䝁䅅杚求䡁䅑入獁䍁䅁兔䙂䙁䅁䅉求䝁䄴睚灂䝁䄴党求䡁䅉兡畂䝁䅣䅌杁䝁䄸睤畂䝁䅕杣婁䡉䅍䅉祂䝁䅕䅣祂䝁䅕督求䝁䄴䅤桂䡁䅑兡㉂䝁䅕䅉穂䝁䅕杣㉂䝁䅫睙求䡁䅍䅌杁䡁䅑党橂䝁䅧杢療䝁䅷睢湂䡁䅫䅉桂䝁䄴䅚杁䝁䅅睙療䡁䅕督あ䝁䅫睙穂䍁䅷䅉祂䝁䅕兙獂䍁䅁党穂䡁䅑兙あ䝁䅕䅉あ䡁䅉兙畂䡁䅍兙橂䡁䅑兡療䝁䄴䅉穂䝁䅕杣㉂䝁䅫睙求䡁䅍䅌杁䝁䅅杢歂䍁䅁䅣潂䝁䅅杣瑂䝁䅅睙求䡁䅕䅤灂䝁䅍兙獂䍁䅁䅚求䡁䅍兡湂䝁䄴杌杁䕁䅫䅤杁䝁䅅䅢穂䝁䄸䅉療䝁䅙杚求䡁䅉督杁䝁䅣党療䡁䅍䅣桂䡁䅑兡桂䝁䅷䅉穂䝁䅕杣㉂䝁䅫睙求䡁䅍䅉浂䝁䄸杣杁䝁䅑党浂䝁䅕杢穂䝁䅕䅉桂䝁䄴䅚杁䝁䅫杢あ䝁䅕䅢獂䝁䅫睚求䝁䄴睙求䍁䅷䅉求䝁䅷党橂䡁䅑杣灂䝁䅍䅉ㅂ䡁䅑兡獂䝁䅫䅤灂䝁䅕督獁䍁䅁睚求䝁䄸督睂䝁䅅䅤灂䝁䅅䅢杁䡁䅍睢浂䡁䅑睤桂䡁䅉党獁䍁䅁睒䩂䙁䅍䅉穂䝁䅕杣㉂䝁䅫睙求䡁䅍䅌杁䝁䅧入歂䡁䅉睢穂䡁䅁兙あ䝁䅫兙獂䍁䅷䅉畂䝁䅅䅤ㅂ䡁䅉兙獂䍁䅁兙畂䝁䅑䅉㍂䝁䅅䅤求䡁䅉䅉祂䝁䅕督療䡁䅕杣橂䝁䅕督獁䍁䅁兙畂䝁䅑䅉あ䡁䅉兙畂䡁䅍䅣療䡁䅉䅤桂䡁䅑兡療䝁䄴杌杁䕁䅫䅤杁䝁䅍兙あ䝁䅕杣穂䍁䅁䅤療䍁䅁兡畂䝁䅑兤穂䡁䅑杣灂䝁䅕督獁䍁䅁督ㅂ䝁䅍䅡杁䝁䅅督杁䝁䅍睢祂䡁䅁睢祂䝁䅅䅤求䍁䅁兙畂䝁䅑䅉橂䝁䄸兢瑂䝁䅕杣橂䝁䅫兙獂䍁䅷䅉橂䡁䅕䅢あ䡁䅕杣桂䝁䅷䅉桂䝁䄴䅚杁䡁䅑䅡求䍁䅁兙祂䡁䅑督獁䍁䅁党歂䡁䅕睙桂䡁䅑兡療䝁䄴䅌杁䝁䅙党歂䝁䅕杣桂䝁䅷䅌杁䝁䅧党桂䝁䅷䅤潂䝁䅍兙祂䝁䅕䅌杁䝁䅧睢穂䡁䅁兡あ䝁䅅䅢灂䡁䅑入獁䍁䅁兡畂䝁䅑兤穂䡁䅑杣灂䝁䅅䅢獁䍁䅁兢灂䡁䅍督灂䝁䄸杢瑁䝁䅍杣灂䡁䅑兡橂䝁䅅䅢杁䝁䅅杢歂䍁䅁䅚桂䡁䅑兙杁䝁䅍党畂䡁䅑党祂䍁䅷䅉祂䝁䅕督灂䝁䅑党畂䡁䅑兡桂䝁䅷䅌杁䡁䅍睙灂䝁䅕杢橂䝁䅕䅉桂䝁䄴䅚杁䡁䅑党橂䝁䅧杢療䝁䅷睢湂䡁䅫䅌杁䡁䅍䅣療䡁䅉䅤穂䍁䅁兙畂䝁䅑䅉祂䝁䅕睙祂䝁䅕兙あ䝁䅫睢畂䍁䅷䅉穂䡁䅑兙あ䝁䅕䅉桂䝁䄴䅚杁䝁䅷睢橂䝁䅅䅢獁䍁䅁䅤祂䝁䅅杢穂䡁䅁睢祂䡁䅑兙あ䝁䅫睢畂䍁䅷䅉ㅂ䡁䅑兡獂䝁䅫䅤㕂䍁䅁督求䡁䅉杤灂䝁䅍党穂䍁䅁兙畂䝁䅑䅉睂䝁䄸睤求䡁䅉䅌杁䝁䅅杢歂䍁䅁睤桂䡁䅑党祂䍁䅁兙畂䝁䅑䅉畂䝁䅅䅤ㅂ䡁䅉兙獂䍁䅁杣求䡁䅍睢ㅂ䡁䅉睙求䡁䅍杌杁䕁䄴杖ㅁ䍁䅁睒獂䝁䄸杙桂䝁䅷䅌杁䕁䅫杢橂䍁䄴䅉㍂䝁䅅督杁䝁䅙睢祂䝁䄰党祂䝁䅷入杁䝁䅳杢療䡁䅣杢杁䝁䅅督杁䕁䄴杖ㅁ䍁䅁䅓療䝁䅷䅚灂䝁䄴睚穂䍁䅷䅉䩂䝁䄴睙畁䍁䅁兙畂䝁䅑䅉橂䝁䅧兙畂䝁䅣党歂䍁䅁兡あ䡁䅍䅉畂䝁䅅兢求䍁䅁䅤療䍁䅁杔坂䑁䅕䅉䡂䝁䅷睢楂䝁䅅䅢獁䍁䅁兓畂䝁䅍杌杁䝁䅫杢杁䕁䅑党橂䝁䅕兢楂䝁䅕杣杁䑁䅉䅍硁䑁䅕杌杁䙁䅑䅡求䍁䅁睙療䝁䄰䅣桂䝁䄴入杁䡁䅣兙穂䍁䅁杚療䡁䅕杢歂䝁䅕䅚杁䝁䅫杢杁䑁䅅兏ぁ䑁䅣䅉桂䝁䄴䅚杁䝁䅫督杁䝁䅉兙穂䝁䅕䅚杁䝁䅫杢杁䕁䅧睢獂䝁䅷入㍂䝁䄸睢歂䍁䅷䅉䝂䝁䅷睢祂䝁䅫䅚桂䍁䅁睤灂䡁䅑䅡杁䝁䅅䅚歂䝁䅫䅤灂䝁䄸杢桂䝁䅷䅉療䝁䅙杚灂䝁䅍党穂䍁䅁兙橂䡁䅉睢穂䡁䅍䅉あ䝁䅧党杁䡁䅣睢祂䝁䅷䅚畁䍁䅁兑穂䍁䅁睢浂䍁䅁兑ㅂ䝁䅣兤穂䡁䅑䅉ぁ䍁䅷䅉祁䑁䅁杍ㅁ䍁䅷䅉佂䙁䅙兎杁䕁䅣䅢療䝁䅉兙獂䍁䅷䅉䩂䝁䄴睙畁䍁䅁睢睂䝁䅕杣桂䡁䅑党穂䍁䅁兙穂䍁䅁兙杁䡁䅍兤楂䡁䅍兡歂䝁䅫兙祂䡁䅫䅉療䝁䅙䅉啂䕁䅫睑杁䙁䅍睢獂䡁䅕䅤灂䝁䄸杢穂䍁䅷䅉䩂䝁䄴睙畁䅁䅁睱䅅䉁䅯䅁乂䝁䅅督啂䝁䅕睙獁䍁䅁兓畂䝁䅍杌䅁䡁䄸䅁啄杄䅁兔桂䡁䅍䅖求䝁䅍䅌杁䕁䅫杢橂䍁䄴䅌杁䝁䅅杢杁䝁䅫杢浂䡁䅉兙穂䡁䅑杣ㅂ䝁䅍䅤ㅂ䡁䅉党杁䝁䅍睢畂䡁䅍䅤祂䡁䅕睙あ䝁䅫睢畂䍁䅁睙療䝁䄰䅣桂䝁䄴入獁䍁䅁䅣祂䝁䄸杤灂䝁䅑党穂䍁䅁党畂䝁䅣兡畂䝁䅕党祂䝁䅫杢湂䍁䅷䅉楂䡁䅕兡獂䝁䅑兡畂䝁䅣䅌杁䝁䅫杢穂䡁䅑兙獂䝁䅷兙あ䝁䅫睢畂䍁䅷䅉瑂䝁䅅兡畂䡁䅑党畂䝁䅅杢橂䝁䅕䅌杁䝁䅅杢歂䍁䅁兤睂䝁䅣杣桂䝁䅑党杁䡁䅍党祂䡁䅙兡橂䝁䅕督杁䝁䅙睢祂䍁䅁睙療䝁䄰兢ㅂ䝁䄴兡橂䝁䅅䅤灂䝁䄸杢穂䍁䅷䅉求䝁䄴党祂䝁䅣入獁䍁䅁兤あ䝁䅫䅢灂䡁䅑入獁䍁䅁兙畂䝁䅑䅉療䡁䅑䅡求䡁䅉䅉灂䝁䄴杚祂䝁䅅督あ䡁䅉兤橂䡁䅑兤祂䝁䅕䅉睂䡁䅉兡瑂䝁䅅杣灂䝁䅷入杁䝁䅫杢杁䡁䅑䅡求䍁䅁兖畂䝁䅫䅤求䝁䅑䅉呂䡁䅑兙あ䝁䅕督杁䝁䅅杢歂䍁䅁睑桂䝁䄴兙歂䝁䅅杌杁䕁䅫䅤杁䝁䄸䅣求䡁䅉兙あ䝁䅕督杁䡁䅑䅡祂䝁䄸兤湂䝁䅧䅉浂䝁䅫杤求䍁䅁督求䝁䅣兢求䝁䄴䅤穂䑁䅯䅉䑂䝁䄸兢瑂䡁䅕杢灂䝁䅍兙あ䝁䅫睢畂䡁䅍䅌杁䕁䅍䅢求䝁䅅杢杁䕁䅕杢求䡁䅉睚㕂䍁䅁兙畂䝁䅑䅉䩂䝁䄴杚祂䝁䅅督あ䡁䅉兤橂䡁䅑兤祂䝁䅕䅌杁䙁䅁睢㍂䝁䅕杣杁䕁䅑党獂䝁䅫杤求䡁䅉入獁䍁䅁䅕灂䡁䅁党獂䝁䅫杢求䍁䅁兓畂䝁䅙杣桂䡁䅍䅤祂䡁䅕睙あ䡁䅕杣求䍁䅷䅉桂䝁䄴䅚杁䕁䄸䅤潂䝁䅕杣畁䍁䅁䅖潂䝁䅕䅉橂䝁䄸兢睂䝁䅅杢㕂䍁䅁杙ㅂ䝁䅫䅢歂䍁䅁兡畂䝁䅙杣桂䡁䅍䅤祂䡁䅕睙あ䡁䅕杣求䍁䅁杚療䡁䅉䅉㍂䝁䅫杣求䝁䅷党穂䡁䅍䅉桂䝁䄴䅚杁䡁䅣兡祂䝁䅕䅢灂䝁䄴党癁䝁䅙兡楂䝁䅕杣杁䝁䅍睢瑂䝁䄰兤畂䝁䅫睙桂䡁䅑兡療䝁䄴督㝁䍁䅁睙獂䝁䅕兙畂䍁䅁党畂䝁䅕杣湂䡁䅫䅉灂䝁䄴杚祂䝁䅅督あ䡁䅉兤橂䡁䅑兤祂䝁䅕䅉橂䝁䄸兢睂䡁䅉兡穂䝁䅫杢湂䍁䅁杣求䝁䄴党㍂䝁䅅杙獂䝁䅕䅉求䝁䄴党祂䝁䅣入杁䡁䅁睢㍂䝁䅕杣杁䝁䅣党畂䝁䅕杣桂䡁䅑兡療䝁䄴睏杁䡁䅁兡睂䝁䅕䅢灂䝁䄴党杁䝁䅫杢浂䡁䅉兙穂䡁䅑杣ㅂ䝁䅍䅤ㅂ䡁䅉党獁䍁䅁兡畂䝁䅍䅢ㅂ䝁䅑兡畂䝁䅣䅉畂䝁䅅䅤ㅂ䡁䅉兙獂䍁䅁睚桂䡁䅍䅌杁䡁䅣兙あ䝁䅕杣獁䍁䅁睙桂䡁䅉杙療䝁䄴䅉橂䝁䅅䅣あ䡁䅕杣求䍁䅁督求䡁䅅兤求䡁䅍䅤祂䝁䅅䅤灂䝁䄸杢獁䍁䅁兙畂䝁䅑䅉療䡁䅑䅡求䡁䅉䅉睂䡁䅉睢歂䡁䅕睙あ䍁䅁䅤祂䝁䅅杢穂䡁䅁睢祂䡁䅑睏杁䡁䅁睢㍂䝁䅕杣杁䝁䅑党獂䝁䅫杤求䡁䅉入杁䡁䅍党祂䡁䅙兡橂䝁䅕督獁䍁䅁督ㅂ䝁䅍䅡杁䝁䅅督杁䝁䅕䅢求䝁䅍䅤祂䝁䅫睙桂䝁䅷䅉桂䝁䄴䅚杁䝁䅣兙穂䍁䅁䅤祂䝁䅅杢穂䝁䄰兡穂䡁䅍兡療䝁䄴䅌杁䝁䅅杢歂䍁䅁䅚灂䡁䅍䅤祂䝁䅫杙ㅂ䡁䅑兡療䝁䄴䅉穂䡁䅫督あ䝁䅕兢穂䑁䅳䅉灂䝁䄴䅚ㅂ䡁䅍䅤祂䝁䅫兙獂䍁䅁兙畂䝁䅑䅉潂䝁䅕兙㉂䡁䅫䅉橂䝁䅫杤灂䝁䅷䅉灂䝁䄴杚祂䝁䅅督あ䡁䅉兤橂䡁䅑兤祂䝁䅕䅌杁䝁䅫杢橂䝁䅷兤歂䝁䅫杢湂䍁䅁杣療䝁䅅䅚穂䍁䅷䅉楂䡁䅉兡歂䝁䅣党穂䍁䅷䅉桂䝁䄴䅚杁䡁䅉兙灂䝁䅷睏杁䝁䅅杢歂䍁䅁睤桂䡁䅑党祂䍁䅁兡畂䝁䅙杣桂䡁䅍䅤祂䡁䅕睙あ䡁䅕杣求䍁䄴䅉䩂䡁䅑䅉桂䝁䅷督療䍁䅁兡畂䡁䅍䅤桂䝁䅷䅢穂䍁䅁党獂䝁䅕睙あ䡁䅉兡橂䝁䅅䅢杁䝁䅅杢歂䍁䅁睢あ䝁䅧党祂䍁䅁睚桂䡁䅍䅉歂䝁䅫督あ䡁䅉兡楂䡁䅕䅤灂䝁䄸杢杁䝁䅅杢歂䍁䅁䅤祂䝁䅅杢穂䝁䄰兡穂䡁䅍兡療䝁䄴䅉穂䡁䅫督あ䝁䅕兢穂䍁䅷䅉睂䝁䄸睤求䡁䅉䅉湂䝁䅕杢求䡁䅉兙あ䝁䅫睢畂䍁䅷䅉睂䝁䄸睤求䡁䅉䅉湂䝁䅕杢求䡁䅉兙あ䝁䅫睢畂䍁䅷䅉橂䝁䅫杤灂䝁䅷䅉桂䝁䄴䅚杁䝁䅫杢歂䡁䅕督あ䡁䅉兡桂䝁䅷䅉浂䝁䅅睙灂䝁䅷兡あ䝁䅫党穂䍁䅷䅉睂䝁䅫䅣求䝁䅷兡畂䝁䅕督獁䍁䅁兙畂䝁䅑䅉浂䝁䅫杙求䡁䅉䅉療䡁䅁䅤灂䝁䅍䅉桂䝁䄴䅚杁䝁䄸䅤潂䝁䅕杣杁䝁䅍兙楂䝁䅷党穂䍁䅷䅉桂䡁䅍䅉㍂䝁䅕䅢獂䍁䅁兙穂䍁䅁兡畂䡁䅍䅤桂䝁䅷䅢瑁䡁䅑睢瑁䡁䅑䅡求䍁䄰䅡療䝁䄰党杁䡁䅍党祂䡁䅙兡橂䝁䅕督畁䍁䅁兓畂䍁䅁兙歂䝁䅑兡あ䝁䅫睢畂䍁䅷䅉あ䝁䅧党杁䝁䅍睢瑂䡁䅁兙畂䡁䅫䅉療䝁䅙杚求䡁䅉督杁䝁䄰兙灂䝁䄴䅤求䝁䄴兙畂䝁䅍党杁䝁䅅杢歂䍁䅁兤睂䝁䅣杣桂䝁䅑党杁䡁䅍兤睂䡁䅁睢祂䡁䅑䅉穂䝁䅕杣㉂䝁䅫睙求䡁䅍䅉橂䝁䄸兢睂䡁䅉兡穂䝁䅫杢湂䍁䅁兢桂䝁䅫杢あ䝁䅕杢桂䝁䄴睙求䍁䅁睢浂䍁䅁睙ㅂ䡁䅍䅤療䝁䄰党祂䡁䅍升杁䝁䅑兡穂䡁䅑杣灂䝁䅉兤あ䝁䅫睢畂䍁䅁杚桂䝁䅍兡獂䝁䅫䅤灂䝁䅕督獁䍁䅁杢求䡁䅑睤療䡁䅉睡穂䍁䅷䅉桂䝁䄴䅚杁䝁䅫杢浂䡁䅉兙穂䡁䅑杣ㅂ䝁䅍䅤ㅂ䡁䅉党獁䍁䅁兡畂䝁䅍䅢ㅂ䝁䅑兡畂䝁䅣䅉橂䝁䄸兢瑂䡁䅕杢灂䝁䅍兙あ䝁䅫睢畂䡁䅍䅌杁䡁䅁睢㍂䝁䅕杣杁䝁䅣党畂䝁䅕杣桂䡁䅑兡療䝁䄴䅌杁䡁䅁兡睂䝁䅕䅢灂䝁䄴党獁䍁䅁党獂䝁䅕睙あ䡁䅉兡橂䝁䅅䅢杁䝁䅑兡穂䡁䅑杣灂䝁䅉兤あ䝁䅫睢畂䍁䅁兙畂䝁䅑䅉あ䡁䅉兙畂䡁䅍兢灂䡁䅍督灂䝁䄸杢獁䍁䅁兙畂䝁䅑䅉橂䝁䅫杤灂䝁䅷䅉桂䝁䄴䅚杁䝁䅫杢歂䡁䅕督あ䡁䅉兡桂䝁䅷䅉灂䝁䄴杚祂䝁䅅督あ䡁䅉兤橂䡁䅑兤祂䝁䅕睏杁䡁䅍党祂䡁䅙兡橂䝁䅕䅉祂䝁䅕督あ䝁䄸杣桂䡁䅑兡療䝁䄴䅉浂䝁䄸杣杁䝁䄴兙あ䡁䅕杣桂䝁䅷䅉歂䝁䅫督桂䡁䅍䅤求䡁䅉督杁䝁䅅杢歂䍁䅁兙橂䝁䅍兡歂䝁䅕杢あ䡁䅍睏杁䝁䅅杢歂䍁䅁杣療䡁䅕䅤灂䝁䄴党杁䡁䅉党睂䝁䅷兙橂䝁䅕兢求䝁䄴䅤穂䍁䅁兙畂䝁䅑䅉ㅂ䡁䅁睚祂䝁䅅䅚求䡁䅍䅉あ䝁䄸䅉療䡁䅙党祂䝁䅧兙ㅂ䝁䅷督畁䍁䅁兓あ䡁䅍䅉橂䡁䅕督あ䝁䄸兢求䡁䅉督杁䝁䅫杢橂䝁䅷兤歂䝁䅕䅉㍂䝁䅫杣求䝁䅷党穂䡁䅍䅉桂䝁䄴䅚杁䡁䅣兡祂䝁䅕䅢灂䝁䄴党癁䝁䅙兡楂䝁䅕杣杁䡁䅍党祂䡁䅙兡橂䝁䅕䅉睂䡁䅉睢㉂䝁䅫䅚求䡁䅉督獁䍁䅁杙祂䝁䄸兙歂䝁䅉兙畂䝁䅑䅉療䡁䅁党祂䝁䅅䅤療䡁䅉督獁䍁䅁兡畂䡁䅍䅤桂䝁䅷䅢瑁䡁䅑睢瑁䡁䅑䅡求䍁䄰䅡療䝁䄰党杁䡁䅍党祂䡁䅙兡橂䝁䅕䅉睂䡁䅉睢㉂䝁䅫䅚求䡁䅉督獁䍁䅁䅣ㅂ䝁䅉䅢灂䝁䅍䅉桂䝁䄴䅚杁䡁䅁杣灂䡁䅙兙あ䝁䅕䅉求䝁䄴党祂䝁䅣入杁䡁䅁杣療䡁䅙兡歂䝁䅕杣穂䍁䅷䅉灂䝁䄴睙獂䡁䅕䅚灂䝁䄴睚杁䡁䅉党畂䝁䅕睤桂䝁䅉䅢求䍁䅁兙畂䝁䅑䅉療䡁䅑䅡求䡁䅉䅉求䝁䄴党祂䝁䅣入杁䡁䅁杣療䡁䅙兡歂䝁䅕杣穂䍁䅷䅉睂䝁䅫䅣求䝁䅷兡畂䝁䅕䅉療䡁䅁党祂䝁䅅䅤療䡁䅉督獁䍁䅁睙灂䡁䅙兡獂䍁䅷䅉あ䡁䅉兙畂䡁䅍䅣療䡁䅉䅤桂䡁䅑兡療䝁䄴䅌杁䝁䅅杢歂䍁䅁兡畂䝁䅑兤穂䡁䅑杣灂䝁䅅䅢杁䝁䅫杢浂䡁䅉兙穂䡁䅑杣ㅂ䝁䅍䅤ㅂ䡁䅉党杁䡁䅁杣療䡁䅙兡歂䝁䅕杣穂䍁䅷䅉桂䡁䅍䅉㍂䝁䅕䅢獂䍁䅁兙穂䍁䅁睚療䡁䅙党祂䝁䄴兢求䝁䄴䅤杁䝁䅕杢あ䝁䅫䅤灂䝁䅕督畁䍁䅁兔桂䡁䅍䅖求䝁䅍䅌杁䕁䅫杢橂䍁䄴䅉㍂䝁䅅督杁䝁䅙睢ㅂ䝁䄴䅚求䝁䅑䅉灂䝁䄴䅉硁䑁䅫杍㕁䍁䅁兙畂䝁䅑䅉灂䡁䅍䅉潂䝁䅕兙歂䡁䅅兤桂䡁䅉䅤求䡁䅉党歂䍁䅁兡畂䍁䅁睑療䡁䅉兙獂䍁䅁睒桂䝁䅉䅢求䡁䅍䅌杁䕁䅙䅢療䡁䅉兡歂䝁䅅杌䅁䩁䈸䅁捁䅁䅁睕兂䙁䄸兒䍂䕁䅫䅖䕂䕁䅅睘䙂䙁䅍䅖䅁䙁䅕䅁奁䅁䅁兔桂䡁䅑䅤祂䍁䅁睑療䡁䅉䅣畁䅁䅁䅺䅁䵁䡧䅁乂䝁䅅䅤あ䡁䅉䅉䑂䝁䄸杣睂䍁䄴䅉療䡁䅁党祂䝁䅅䅤求䡁䅍䅉桂䡁䅍䅉桂䍁䅁兢桂䡁䅑党祂䝁䅫兙獂䍁䅁䅤求䝁䅍䅡畂䝁䄸䅢療䝁䅣入杁䝁䅍睢瑂䡁䅁兙畂䡁䅫䅉あ䝁䅧兙あ䍁䅁督求䡁䅉杤求䡁䅍䅉あ䝁䅧党杁䡁䅑杣桂䝁䄴督睂䝁䄸杣あ䝁䅅䅤灂䝁䄸杢獁䍁䅁睙療䝁䄰兢ㅂ䝁䄴兡橂䝁䅅䅤灂䝁䄸杢獁䍁䅁睤桂䡁䅑党祂䍁䅁兢桂䝁䄴兙湂䝁䅕兢求䝁䄴䅤獁䍁䅁党畂䝁䅕杣湂䡁䅫䅉桂䝁䄴䅚杁䝁䅕䅢求䝁䅍䅤祂䝁䅫杚灂䝁䅍兙あ䝁䅫睢畂䍁䅁兢桂䡁䅉睡求䡁䅑督杁䝁䅫杢杁䕁䅍兙畂䝁䅅䅚桂䍁䅷䅉あ䝁䅧党杁䙁䅕杢灂䡁䅑党歂䍁䅁睕あ䝁䅅䅤求䡁䅍䅌杁䕁䅷兙あ䝁䅫杢杁䕁䅅兢求䡁䅉兡橂䝁䅅䅌杁䕁䅕兤祂䝁䄸䅣求䍁䅷䅉乂䝁䅫䅚歂䝁䅷党杁䕁䅕兙穂䡁䅑䅌杁䕁䅅杚祂䝁䅫睙桂䍁䅷䅉桂䝁䄴䅚杁䕁䅅督灂䝁䅅䅉兂䝁䅅睙灂䝁䅙兡橂䍁䄴䅉䩂䡁䅑䅉療䡁䅁党祂䝁䅅䅤求䡁䅍䅉灂䝁䄴䅉あ䡁䅣睢杁䡁䅍党湂䝁䄰党畂䡁䅑督㙁䍁䅁睑療䝁䄰䅣療䡁䅍兡あ䝁䅕䅉啂䝁䅕睙潂䝁䄴睢獂䝁䄸睚灂䝁䅕督杁䝁䅅杢歂䍁䅁睑療䝁䄴杢求䝁䅍䅤灂䝁䄸杢杁䙁䅑党橂䝁䅧杢療䝁䅷睢湂䝁䅫党穂䍁䅁督求䝁䅣兢求䝁䄴䅤穂䍁䄴䅉啂䝁䅧党杁䝁䅍睢瑂䡁䅁兙畂䡁䅫䅉瑂䝁䅅杢ㅂ䝁䅙兙橂䡁䅑兤祂䝁䅕督杁䝁䅙䅢求䡁䅧兡楂䝁䅷党杁䝁䅍睢瑂䡁䅁睢穂䝁䅫䅤求䍁䅁䅤潂䝁䅅䅤杁䝁䅅杣求䍁䅁兤穂䝁䅕䅚杁䝁䅙睢祂䍁䅁睢灂䝁䅷䅉桂䝁䄴䅚杁䝁䅣兙穂䍁䅁睚桂䡁䅑䅡求䡁䅉兡畂䝁䅣䅌杁䝁䅅杢歂䍁䅁睢あ䝁䅧党祂䍁䅁兙睂䡁䅁䅢灂䝁䅍兙あ䝁䅫睢畂䡁䅍杌杁䙁䅑䅡求䍁䅁睙療䝁䄰䅣桂䝁䄴入杁䝁䅅䅢穂䝁䄸䅉瑂䝁䅅杢ㅂ䝁䅙兙橂䡁䅑兤祂䝁䅕督杁䝁䅧党桂䡁䅑兌穂䝁䅧杣灂䝁䄴睡桂䝁䅉䅢求䍁䅁䅣祂䝁䄸䅚ㅂ䝁䅍䅤穂䍁䅷䅉灂䝁䄴睙獂䡁䅕䅚灂䝁䄴睚杁䡁䅑䅡灂䝁䄴䅌杁䝁䄰党歂䝁䅫兤瑂䍁䅷䅉桂䝁䄴䅚杁䝁䅧党桂䡁䅙入瑁䡁䅣兙獂䝁䅷党歂䍁䅁䅤ㅂ䝁䅉兡畂䝁䅣睏杁䡁䅍䅢求䝁䅕杤求䡁䅍䅉桂䝁䄴䅚杁䝁䄰睢獂䝁䅑党歂䍁䅁䅣祂䝁䄸䅚ㅂ䝁䅍䅤穂䍁䅷䅉桂䡁䅍䅉㍂䝁䅕䅢獂䍁䅁兙穂䍁䅁䅡求䝁䅅䅤瑁䡁䅍䅡祂䝁䅫杢牂䍁䅁兙橂䝁䅍党穂䡁䅍睢祂䝁䅫党穂䍁䅁兙畂䝁䅑䅉求䡁䅅兤灂䡁䅁兢求䝁䄴䅤㝁䍁䅁兙畂䝁䅑䅉獂䝁䄸睤瑁䡁䅙睢獂䡁䅑兙湂䝁䅕䅉㍂䝁䅫杣求䡁䅍䅉桂䝁䄴䅚杁䝁䅍兙楂䝁䅷党穂䍁䅁杚療䡁䅉䅉橂䝁䄸杢あ䡁䅉睢獂䍁䅷䅉灂䝁䄴督あ䡁䅉兤瑂䝁䅕杢あ䝁䅅䅤灂䝁䄸杢獁䍁䅁䅤潂䝁䅕杣瑂䝁䄸睙療䡁䅕䅣獂䝁䅕䅌杁䡁䅁睢㍂䝁䅕杣獁䍁䅁兙畂䝁䅑䅉灂䝁䄴䅚ㅂ䡁䅍䅤祂䝁䅫兙獂䍁䅁兙睂䡁䅁䅢灂䝁䅍兙あ䝁䅫睢畂䡁䅍杌杁䕁䅫䅤杁䝁䄸杚浂䝁䅕杣穂䍁䅁兡あ䡁䅍䅉睂䡁䅉睢歂䡁䅕睙あ䡁䅍䅉ㅂ䝁䄴䅚求䡁䅉䅉あ䝁䅧党杁䕁䅙䅢求䡁䅧䅣灂䡁䅁党獁䍁䅁䅗求䡁䅉䅥求䡁䅍䅌杁䝁䅅杢歂䍁䅁䅤潂䝁䅕䅉呂䝁䅧兙㍂䝁䅙䅢求䡁䅧䅉楂䡁䅉兙畂䝁䅑督畁䍁䅁䅖潂䝁䅕䅉橂䝁䄸兢睂䝁䅅杢㕂䍁䅁睤桂䡁䅍䅉浂䝁䄸杣瑂䝁䅕杣獂䡁䅫䅉牂䝁䄴睢㍂䝁䄴䅉桂䡁䅍䅉呂䝁䅧兙㍂䝁䅍睢祂䍁䅁䅔あ䝁䅑杌杁䝁䅅杢歂䍁䅁睙潂䝁䅅杢湂䝁䅕䅚杁䝁䅫䅤穂䍁䅁杢桂䝁䄰党杁䡁䅑睢杁䕁䄰兙あ䡁䅑杣杁䕁䅍睢祂䡁䅁杌杁䝁䅫杢杁䕁䅯兙畂䡁䅕兙祂䡁䅫䅉祁䑁䅁杍ぁ䍁䄴䅉乂䝁䅅䅤あ䡁䅉䅉䑂䝁䄸杣睂䍁䄴䅉㍂䝁䅅督杁䝁䅫杢橂䝁䄸杣睂䝁䄸杣桂䡁䅑党歂䍁䅁兡畂䍁䅁免㕁䑁䅙䅏杁䝁䅅杢歂䍁䅁兡穂䍁䅁䅡求䝁䅅䅚硂䡁䅕兙祂䡁䅑党祂䝁䅕䅚杁䝁䅫杢杁䙁䅑睢祂䝁䄸杢あ䝁䄸䅌杁䕁䅍兙畂䝁䅅䅚桂䍁䄴䅁䩄䅁䅁杓䅯䕁䄰睙䑂䝁䄸入杁䕁䅣䅢療䝁䅉兙獂䍁䅁兓畂䝁䅍杌杁䡁䅁杣療䡁䅙兡歂䝁䅕督杁䝁䅕兣ㅂ䝁䅫䅣瑂䝁䅕杢あ䍁䅁兙畂䝁䅑䅉あ䝁䅕睙潂䝁䄴睢獂䝁䄸睚灂䝁䅕督杁䡁䅑睢杁䡁䅍兤睂䡁䅁睢祂䡁䅑䅉あ䡁䅕杙ㅂ䝁䅷兙祂䍁䅁杣ㅂ䝁䄴杢灂䝁䄴睚杁䝁䄸䅣求䡁䅉兙あ䝁䅫睢畂䡁䅍䅉あ䝁䅧兙あ䍁䅁党畂䝁䅧兙畂䝁䅍党杁䡁䅣党獂䝁䅷杙療䡁䅉党杁䝁䅫杢あ䝁䅕睚祂䝁䅫䅤㕂䍁䅁兙畂䝁䅑䅉桂䡁䅍督灂䡁䅍䅤杁䡁䅣兡あ䝁䅧䅉橂䝁䄸䅢獂䝁䅕睙あ䝁䅫杢湂䍁䅁睙祂䝁䅫䅤灂䝁䅍兙獂䍁䅁䅚桂䡁䅑兙杁䝁䅙睢祂䍁䅁䅤潂䝁䅕䅉求䝁䄴党祂䝁䅣入杁䝁䅫杢歂䡁䅕督あ䡁䅉入畁䍁䅁䅖潂䝁䅕䅉橂䝁䄸兢睂䝁䅅杢㕂䉁杫督杁䡁䅁杣療䝁䅑兤橂䡁䅑督杁䝁䅅杣求䍁䅁兤穂䝁䅕䅚杁䝁䅑兤祂䝁䅫杢湂䍁䅁䅤潂䝁䅕䅉㍂䝁䅕䅢獂䍁䅁睙療䝁䄴督あ䡁䅉兤橂䡁䅑兡療䝁䄴䅉睂䝁䅧兙穂䝁䅕䅉浂䝁䄸杣杁䝁䅷兙畂䝁䅑䅉桂䝁䄴䅚杁䝁䄸杚浂䡁䅍䅡療䡁䅉党杁䡁䅣党獂䝁䅷督杁䝁䅑兤祂䝁䅫杢湂䍁䅁睢灂䝁䅷䅉桂䝁䄴䅚杁䝁䅣兙穂䍁䅁党㑂䡁䅁䅢療䡁䅉兙あ䝁䅫睢畂䍁䅁兙畂䝁䅑䅉歂䝁䅕杤求䝁䅷睢睂䝁䄰党畂䡁䅑杌杁䕁䅫䅤杁䝁䅑党穂䝁䅫睚畂䡁䅍䅌杁䡁䅁杣療䝁䅑兤橂䝁䅕督獁䍁䅁兙畂䝁䅑䅉歂䝁䅫督あ䡁䅉兡楂䡁䅕䅤求䡁䅍䅉橂䝁䅅䅣灂䡁䅑兙獂䍁䅁党硂䡁䅕兡睂䝁䄰党畂䡁䅑䅉あ䝁䄸䅉穂䡁䅕䅣睂䝁䄸杣あ䍁䅁䅤ㅂ䝁䅉兤獂䝁䅅杣杁䡁䅉兤畂䝁䄴兡畂䝁䅣䅉療䡁䅁党祂䝁䅅䅤灂䝁䄸杢穂䍁䅷䅉求䝁䄴䅡桂䝁䄴睙求䍁䅁睤求䝁䅷䅢楂䝁䄸杣求䍁䅁兡畂䡁䅑党湂䡁䅉兡あ䡁䅫䅌杁䝁䅅杢歂䍁䅁兡畂䝁䅍杣求䝁䅅督求䍁䅁督桂䝁䅙党あ䡁䅫睏杁䝁䅅杚あ䝁䅕杣瑂䝁䅅杣牂䝁䅕䅤杁䡁䅁杣療䝁䅑兤橂䡁䅑督杁䝁䅅杢歂䍁䅁督求䡁䅉杤灂䝁䅍党穂䍁䅷䅉穂䡁䅕睙潂䍁䅁兙穂䍁䅁䅤求䝁䅍䅡畂䝁䅫睙桂䝁䅷䅉穂䡁䅕䅣睂䝁䄸杣あ䍁䅷䅉橂䝁䄸杢穂䡁䅕兢桂䝁䅉䅢求䡁䅍䅌杁䝁䅅杢歂䍁䅁杣求䡁䅁䅢桂䝁䅍党瑂䝁䅕杢あ䍁䅁䅣桂䡁䅉䅤穂䑁䅳䅉桂䝁䄴䅚杁䝁䅑兙あ䝁䅅䅉橂䝁䄸䅢獂䝁䅕睙あ䝁䅫睢畂䍁䅁䅤求䝁䅍䅡畂䝁䄸䅢療䝁䅣兡求䡁䅍䅉ㅂ䡁䅍党歂䍁䅁兡畂䍁䅁杣ㅂ䝁䅣睚求䝁䅑䅉桂䡁䅁䅣獂䝁䅫睙桂䡁䅑兡療䝁䄴督杁䝁䅙睢祂䍁䅁䅤潂䝁䅕䅉湂䝁䅷睢楂䝁䅅䅢杁䝁䅕杢求䡁䅉睚㕂䍁䅁兡畂䝁䅑兤穂䡁䅑杣㕂䍁䅷䅉桂䡁䅍䅉㍂䝁䅕䅢獂䍁䅁兙穂䍁䅁兡畂䍁䅁睙療䝁䄴督あ䡁䅉兤橂䡁䅑兡療䝁䄴䅌杁䝁䄰兙祂䝁䅫杢求䍁䅷䅉桂䝁䄴䅚杁䝁䅅党祂䝁䄸督睂䝁䅅睙求䍁䄴䅉啂䝁䅧党杁䝁䅍睢瑂䡁䅁兙畂䡁䅫䅉桂䝁䅷督療䍁䅁杣求䡁䅁兙灂䡁䅉督獁䍁䅁兢桂䝁䅫杢あ䝁䅅兡畂䡁䅍䅌杁䝁䅅杢歂䍁䅁睙桂䝁䅷兡楂䡁䅉兙あ䝁䅕督杁䝁䅫䅤穂䍁䅁睙桂䡁䅁兡あ䝁䅅䅢杁䝁䅕兣ㅂ䝁䅫䅣瑂䝁䅕杢あ䍁䅁兙畂䝁䅑䅉祂䝁䅕䅢桂䡁䅑党歂䍁䅁䅣祂䝁䄸䅚ㅂ䝁䅍䅤穂䍁䄴䅉䩂䝁䄴䅉桂䝁䅑䅚灂䡁䅑兡療䝁䄴䅌杁䝁䅫䅤杁䝁䅫督杁䝁䅫杢㉂䝁䄸䅢㉂䝁䅕䅚杁䝁䅫杢杁䡁䅑䅡求䍁䅁杣求䝁䄴䅤桂䝁䅷䅉療䝁䅙䅉求䡁䅅兤灂䡁䅁兢求䝁䄴䅤杁䝁䅅杢歂䍁䅁䅤求䝁䅍䅡畂䝁䄸䅢療䝁䅣兡求䡁䅍杌杁䙁䅑䅡求䍁䅁睙療䝁䄰䅣桂䝁䄴入杁䡁䅍党獂䝁䅷督杁䝁䅫䅤穂䍁䅁䅣祂䝁䄸䅚ㅂ䝁䅍䅤穂䍁䅁兙畂䝁䅑䅉穂䝁䅕杣㉂䝁䅫睙求䡁䅍䅉ㅂ䝁䄴䅚求䡁䅉䅉あ䝁䅧党杁䕁䄰睙䑂䝁䄸入杁䕁䅣䅢療䝁䅉兙獂䍁䅁杙祂䝁䅅杢歂䍁䅁䅤潂䡁䅉睢ㅂ䝁䅣䅡杁䝁䅑兡祂䝁䅕睙あ䍁䅁督桂䝁䅷党穂䍁䅁睙潂䝁䅅杢畂䝁䅕䅢穂䍁䅷䅉桂䝁䅣党畂䡁䅑督獁䍁䅁杣求䍁䄰督求䝁䅷䅢求䡁䅉督獁䍁䅁兙畂䝁䅑䅉歂䝁䅫督あ䡁䅉兡楂䡁䅕䅤療䡁䅉督杁䝁䅫杢杁䡁䅑䅡求䍁䅁兖畂䝁䅫䅤求䝁䅑䅉呂䡁䅑兙あ䝁䅕督獁䍁䅁䅔桂䡁䅑兡畂䍁䅁兑瑂䝁䅕杣灂䝁䅍兙獁䍁䅁䅤潂䝁䅕䅉乂䝁䅫䅚歂䝁䅷党杁䕁䅕兙穂䡁䅑䅌杁䕁䅅杚祂䝁䅫睙桂䍁䅷䅉䙂䡁䅕杣療䡁䅁党獁䍁䅁䅤潂䝁䅕䅉䉂䡁䅍兡桂䍁䅁䅕桂䝁䅍兡浂䝁䅫睙獁䍁䅁兙畂䝁䅑䅉䑂䝁䅅杢桂䝁䅑兙畁䍁䅁䅖潂䝁䅕䅉橂䝁䄸兢睂䝁䅅杢㕂䍁䅁睤桂䡁䅍䅉浂䝁䄸杣瑂䝁䅕杣獂䡁䅫䅉牂䝁䄴睢㍂䝁䄴䅉桂䡁䅍䅉乂䝁䅍睑療䡁䅫䅉䑂䝁䄸杣睂䝁䄸杣桂䡁䅑兡療䝁䄴䅉桂䝁䄴䅚杁䝁䅍䅡桂䝁䄴睚求䝁䅑䅉灂䡁䅑督杁䝁䄴兙瑂䝁䅕䅉あ䝁䄸䅉乂䝁䅍睑療䡁䅫䅉䡂䝁䅷睢楂䝁䅅䅢杁䕁䅫杢橂䍁䄴䅉灂䝁䄴䅉䭂䡁䅕䅢㕂䍁䅁杍睁䑁䅅䅎畁䍁䅁兔橂䕁䅍睢㕂䍁䅁睒獂䝁䄸杙桂䝁䅷䅉䩂䝁䄴睙畁䍁䅁睤桂䡁䅍䅉浂䝁䄸兤畂䝁䅑党歂䍁䅁兡畂䍁䅁免㕁䑁䅅䅎杁䝁䅅杢歂䍁䅁兡穂䍁䅁䅡求䝁䅅䅚硂䡁䅕兙祂䡁䅑党祂䝁䅕䅚杁䝁䅫杢杁䕁䅕䅚瑂䝁䄸杢あ䝁䄸杢獁䍁䅁睑桂䝁䄴兙歂䝁䅅杌䅁䩁䉍䅁㙁䅁䅁兔ㅂ䝁䅕䅢獂䝁䅕杣杁䙁䅣兙あ䝁䅕杣杁䙁䅁杣療䝁䅑兤橂䡁䅑督獁䍁䅁兓畂䝁䅍杌䅁䱁䄴䅁捁䅁䅁杔䉂䙁䅍䅒䉂䙁䅅睑乂䑁䅯䅖啂䙁䅍䅓䅁䭁䅯䅁捁䅁䅁杔䉂䙁䅍䅒䉂䙁䅅睒呂䑁䅯杒呂䙁䅑杕䅁䭁䄴䅁捁䅁䅁杔䉂䙁䅍䅒䉂䙁䅅睒呂䑁䅯兔䉂䙁䅑睖䅁䭁䅙䅁捁䅁䅁杔桂䡁䅍䅚桂䡁䅅睒呂䑁䅯兑䉂䕁䄸杔䅁䑁䅙䅁捁䅁䅁杔䉂䙁䅍䅒䉂䙁䅅睒呂䑁䅯杔塂䙁䅁䅗䅁䭁䄸䅁䝁䅁䅁杔乂䅁䅁睅䅁䅁䅧䅁佂䙁䅑兔䅁䙁䅅䅁ぁ䅁䅁杔塂䙁䅁䅗杁䕁䅫杢浂䡁䅉兙穂䡁䅑杣ㅂ䝁䅍䅤ㅂ䡁䅉党獁䍁䅁兓畂䝁䅍杌䅁䭁䉑䅁啁䅁䅁杔婂䙁䅍兒㙁䕁䅅䅖䱂䙁䅉䅁穃䅁䅁䅍䅷䕁䄴睖兂䙁䅧䅉䩂䝁䄴杚祂䝁䅅督あ䡁䅉兤橂䡁䅑兤祂䝁䅕䅌杁䕁䅫杢橂䍁䄴䅌杁䡁䅑睢湂䝁䅕䅤潂䝁䅕杣杁䡁䅣兡あ䝁䅧䅉灂䡁䅑督杁䡁䅍兤楂䡁䅍兡歂䝁䅫兙祂䝁䅫党穂䍁䅷䅉求䝁䄴睚桂䝁䅣党穂䍁䅁兡畂䍁䅁䅤潂䝁䅕䅉瑂䝁䅅杢ㅂ䝁䅙兙橂䡁䅑兤祂䝁䅕䅉桂䝁䄴䅚杁䡁䅍兙獂䝁䅕䅉療䝁䅙䅉㍂䝁䅅䅤求䡁䅉兌祂䝁䅕䅢桂䡁䅑党歂䍁䅁兡畂䝁䅙杣桂䡁䅍䅤祂䡁䅕睙あ䡁䅕杣求䍁䅁䅣祂䝁䄸䅚ㅂ䝁䅍䅤穂䍁䅁兡畂䍁䅁杔療䡁䅉䅤潂䍁䅁兑瑂䝁䅕杣灂䝁䅍兙杁䝁䅅杢歂䍁䅁睑桂䝁䄴兙歂䝁䅅杌杁䕁䅫䅤杁䝁䄸䅣求䡁䅉兙あ䝁䅕督杁䡁䅑䅡祂䝁䄸兤湂䝁䅧䅉あ䡁䅣睢杁䡁䅍党湂䝁䄰党畂䡁䅑督獁䍁䅁兒畂䝁䅣兡畂䝁䅕党祂䝁䅕䅚杁䙁䅍䅤求䝁䅕䅢杁䙁䅁杣求䡁䅍督ㅂ䡁䅉党杁䙁䅁兡睂䝁䅕䅉潁䙁䅍䅕兂䍁䅫䅉桂䝁䄴䅚杁䙁䅁杣求䝁䅍兙穂䡁䅑䅉䩂䝁䄴杚祂䝁䅅督あ䡁䅉兤橂䡁䅑兤祂䝁䅕䅉桂䝁䄴䅚杁䕁䅕杢湂䝁䅫杢求䝁䅕杣求䝁䅑䅉呂䡁䅫督あ䝁䅕兢穂䍁䅁䅋兂䡁䅉党橂䝁䅅督あ䍁䅫杌杁䙁䅑䅡求䍁䅁睕兂䙁䅁䅉穂䝁䅕睚瑂䝁䅕杢あ䍁䅁䅣祂䝁䄸杤灂䝁䅑党穂䍁䅁䅢桂䡁䅉睚求䍁䄰䅚灂䝁䅅兢求䡁䅑党祂䍁䅁兙畂䝁䅑䅉潂䝁䅫睚潂䍁䄰䅣祂䝁䅕督穂䡁䅕杣求䍁䅁督あ䝁䅕党獂䍁䅁䅣灂䡁䅁党獂䝁䅫杢求䍁䅁督㕂䡁䅍䅤求䝁䄰督杁䝁䅙睢祂䍁䅁兤穂䝁䅕䅉灂䝁䄴䅉㍂䝁䅅䅤求䡁䅉䅉灂䝁䄴杚祂䝁䅅督あ䡁䅉兤橂䡁䅑兤祂䝁䅕䅉桂䡁䅁䅣獂䝁䅫睙桂䡁䅑兡療䝁䄴督獁䍁䅁睤潂䝁䅫睙潂䍁䅁兙祂䝁䅕䅉睂䡁䅉兡瑂䝁䅅杣灂䝁䅷入杁䡁䅉党獂䝁䅅䅤求䝁䅑䅉あ䝁䄸䅉歂䡁䅉兡畂䝁䅳兡畂䝁䅣䅉㍂䝁䅅䅤求䡁䅉䅉穂䡁䅫督あ䝁䅕兢穂䍁䄴䅉䩂䡁䅑督杁䡁䅁杣療䝁䅑兤橂䡁䅑督杁䝁䅅杣求䍁䅁兙獂䡁䅍睢杁䡁䅕督求䝁䅑䅉浂䝁䄸杣杁䝁䅧入歂䡁䅉睢求䝁䅷党橂䡁䅑杣灂䝁䅍䅉睂䝁䄸睤求䡁䅉䅉穂䡁䅫督あ䝁䅕兢穂䍁䅷䅉㍂䝁䅅督あ䝁䅕睤桂䡁䅑党祂䍁䅁督㕂䡁䅍䅤求䝁䄰督獁䍁䅁督求䝁䅫督瑂䝁䅫睙杁䡁䅉党穂䝁䅫䅢灂䝁䅕杢橂䡁䅫䅌杁䝁䅅杢歂䍁䅁睢あ䝁䅧党祂䍁䅁兙睂䡁䅁䅢灂䝁䅍兙あ䝁䅫睢畂䡁䅍杌杁䕁䅫杢杁䝁䅅䅚歂䝁䅫䅤灂䝁䄸杢獁䍁䅁䅤潂䝁䅫督杁䡁䅍党湂䝁䄰党畂䡁䅑䅉瑂䝁䅅睡求䡁䅍䅉睂䡁䅉睢歂䡁䅕睙あ䡁䅍䅉浂䝁䄸杣杁䝁䅫杢歂䡁䅕督あ䡁䅉兡桂䝁䅷䅉睂䝁䅷兙畂䡁䅑䅉睂䝁䅫䅣灂䝁䄴睚杁䡁䅍入穂䡁䅑党瑂䡁䅍䅉桂䝁䄴䅚杁䝁䅍党祂䡁䅑兙灂䝁䄴䅉穂䡁䅑杣ㅂ䝁䅍䅤ㅂ䡁䅉兙獂䍁䅁兙睂䡁䅁䅢灂䝁䅍兙あ䝁䅫睢畂䡁䅍杌杁䙁䅑䅡求䍁䅁䅕祂䝁䅕睙桂䡁䅍䅤杁䡁䅍党湂䝁䄰党畂䡁䅑䅉療䝁䅙杚求䡁䅉督杁䡁䅍䅤療䡁䅉兢㍂䝁䅅䅤求䡁䅉䅉桂䝁䄴䅚杁䡁䅣兙穂䡁䅑党㍂䝁䅅䅤求䡁䅉䅉あ䝁䅕睙潂䝁䄴睢獂䝁䄸睚㕂䍁䅁䅣祂䝁䄸䅚ㅂ䝁䅍䅤穂䍁䅷䅉睂䡁䅉党橂䝁䅅督あ䍁䅷䅉桂䝁䄴䅚杁䡁䅉党灂䝁䄴杚療䡁䅉睙求䝁䅑䅉橂䝁䄸杢橂䡁䅉党あ䝁䅕䅉睂䡁䅉睢歂䡁䅕睙あ䡁䅍䅌杁䝁䅫杢橂䝁䅷兤歂䝁䅫杢湂䍁䅁杣求䝁䅫杢浂䝁䄸杣橂䝁䅕䅚杁䝁䅍睢畂䝁䅍杣求䡁䅑党杁䡁䅁兡睂䝁䅕䅌杁䝁䄰兙畂䝁䅧睢獂䝁䅕督獁䍁䅁杙療䡁䅧䅉橂䡁䅕䅢㉂䝁䅕杣あ䡁䅍䅌杁䡁䅙兙ㅂ䝁䅷䅤穂䍁䅁兙畂䝁䅑䅉橂䝁䅅䅤橂䝁䅧䅉楂䝁䅅督灂䝁䄴督獁䍁䅁䅣ㅂ䝁䄰䅣杁䝁䅷兡浂䡁䅑䅉穂䡁䅑兙あ䝁䅫睢畂䡁䅍䅌杁䝁䄸兡獂䍁䅁睤桂䡁䅑党祂䍁䅁督求䡁䅁兙祂䝁䅅䅤療䡁䅉督獁䍁䅁杙灂䝁䄸杚灂䝁䅷䅤祂䝁䅅䅤灂䝁䄸杢杁䡁䅕杢灂䡁䅑督獁䍁䅁督あ䝁䅕党獂䍁䅁睙桂䡁䅍兡畂䝁䅣䅉睂䝁䅫䅣求䡁䅍䅌杁䝁䅅杢歂䍁䅁杙桂䡁䅉兌㍂䡁䅉兙睂䡁䅁党歂䍁䅁睙療䝁䄴睙祂䝁䅕䅤求䍁䅁睙㕂䝁䅷兡畂䝁䅑党祂䍁䅁䅣灂䡁䅁党穂䍁䅷䅉桂䡁䅍䅉㍂䝁䅕䅢獂䍁䅁兙穂䍁䅁䅣灂䡁䅁党獂䝁䅫杢求䍁䅁督㕂䡁䅍䅤求䝁䄰䅉煂䝁䄸兡畂䡁䅑督獁䍁䅁杚灂䡁䅑䅤灂䝁䄴睚穂䍁䅷䅉穂䡁䅁党橂䝁䅫兙獂䝁䅫来求䝁䅑䅉橂䝁䄸兢睂䝁䄸杢求䝁䄴䅤穂䍁䅷䅉桂䝁䄴䅚杁䝁䄸䅤潂䝁䅕杣杁䝁䅕杢㉂䝁䅫杣療䝁䄴兢求䝁䄴䅤桂䝁䅷䅉桂䝁䄴䅚杁䝁䅕杢湂䝁䅫杢求䝁䅕杣求䝁䅑䅉穂䝁䄸䅢ㅂ䡁䅑兡療䝁䄴督畁䍁䅁䅖潂䝁䅕䅉橂䝁䄸兢睂䝁䅅杢㕂䍁䅁督求䝁䅷䅢穂䍁䅁兡あ䡁䅍䅉㍂䝁䅅䅤求䡁䅉䅉灂䝁䄴杚祂䝁䅅督あ䡁䅉兤橂䡁䅑兤祂䝁䅕䅉睂䡁䅉睢歂䡁䅕睙あ䡁䅍䅉ㅂ䝁䄴䅚求䡁䅉䅉あ䝁䅧党杁䙁䅁兙祂䝁䅳兖呂䕁䅅䅌杁䕁䅣党畂䝁䅕杤桂䍁䅁䅕灂䡁䅁党杁䝁䅅杢歂䍁䅁䅕祂䝁䅕睙桂䡁䅍䅤獁䍁䅁䅕求䡁䅉兢桂䝁䅷睢牂䍁䅷䅉桂䝁䄴䅚杁䕁䄴睢祂䡁䅑䅡㍂䝁䅕督あ䍁䅁䅕灂䡁䅁党杁䕁䅍睢瑂䡁䅁兙畂䡁䅫䅉楂䡁䅉兙畂䝁䅑督杁䡁䅁杣灂䝁䄰兙祂䝁䅫䅢㕂䍁䅁䅤療䍁䅁兡畂䡁䅍䅤桂䝁䅷䅢桂䡁䅑兡療䝁䄴䅉橂䝁䄸杢あ䡁䅉兙橂䡁䅑睢祂䡁䅍杌杁䙁䅑䅡求䍁䅁睙療䝁䄰䅣桂䝁䄴入杁䡁䅣兙穂䍁䅁杚療䡁䅉兢求䡁䅉䅢㕂䍁䅁睡畂䝁䄸睤畂䍁䅁兙穂䍁䅁杔療䡁䅉䅤潂䡁䅣党穂䡁䅑䅉兂䝁䅫䅣求䍁䅁睑療䝁䄰䅣桂䝁䄴入杁䝁䅅杢歂䍁䅁睙潂䝁䅅杢湂䝁䅕䅚杁䝁䅫䅤穂䍁䅁杢桂䝁䄰党杁䡁䅑睢杁䕁䄴睖兂䙁䅧䅉䩂䝁䄴杚祂䝁䅅督あ䡁䅉兤橂䡁䅑兤祂䝁䅕䅌杁䕁䅫杢橂䍁䄴䅉灂䝁䄴䅉䭂䡁䅕杢求䍁䅁杍睁䑁䅉兎畁䍁䅁杔塂䙁䅁䅗杁䕁䅫杢浂䡁䅉兙穂䡁䅑杣ㅂ䝁䅍䅤ㅂ䡁䅉党獁䍁䅁兓畂䝁䅍杌杁䡁䅣兙穂䍁䅁兡畂䝁䅍睢祂䡁䅁睢祂䝁䅅䅤求䝁䅑䅉灂䝁䄴䅉硁䑁䅫李㉁䍁䅁兙畂䝁䅑䅉灂䡁䅍䅉潂䝁䅕兙歂䡁䅅兤桂䡁䅉䅤求䡁䅉党歂䍁䅁兡畂䍁䅁杖桂䝁䄴睙療䡁䅕杤求䡁䅉䅌杁䙁䅣兙穂䝁䅧兡畂䝁䅣䅤療䝁䄴杌䅁䭁䉙䅁十䅁䅁杔婂䙁䅍兒㙁䕁䅅睑乂䅁䅁杣䅁䉁䅉䅁佂䙁䅫睕䙂䑁䅯兑塂䕁䅫䅁灁䅁䅁䅇䅁䕁䄴兙穂䝁䅑兙硂䑁䅯杔坂䕁䅕兒䅁䝁䄰䅁十䅁䅁杔婂䙁䅍兒㙁䕁䅅兗䩂䅁䅁杌䅁䍁䅷䅁剂䡁䅕兙畂䡁䅑兙杁䙁䅍党祂䡁䅙兡橂䝁䅕督獁䍁䅁兓畂䝁䅍杌䅁䥁䅍䅁啁䅁䅁杔婂䙁䅍兒㙁䕁䅅杗䙂䕁䅳䅁ㅁ䅁䅁䅆䅁䕁䄴兗呂䕁䅕杏䑂䕁䅅杕卂䅁䅁䅍䅁䉁䅉䅁佂䙁䅫睕䙂䑁䅯村䑂䕁䅍䅁敁䅁䅁䅆䅁䕁䄴兗呂䕁䅕杏䍂䕁䅷䅒卂䅁䅁兇䅁䉁䅉䅁佂䙁䅫睕䙂䑁䅯村奂䕁䅍䅁啁䅁䅁䅆䅁䕁䄴兗呂䕁䅕杏䕂䕁䄸睔卂䅁䅁䅊䅁䉁䅉䅁佂䙁䅫睕䙂䑁䅯兒奂䙁䅁䅁潁䅁䅁杖䅫䕁䅅䅤牂䝁䄸杣求䍁䅁兓畂䝁䅍杌杁䝁䅕杢湂䝁䅅睚求䡁䅍䅉灂䝁䄴䅉あ䝁䅧党杁䝁䄰兙畂䡁䅕杚桂䝁䅍䅤ㅂ䡁䅉党杁䝁䅅杢歂䍁䅁督桂䝁䅷党杁䝁䄸杚杁䝁䅕䅢求䝁䅍䅤祂䝁䅫睙桂䝁䅷䅌杁䝁䄰党橂䝁䅧兙畂䝁䅫睙桂䝁䅷䅌杁䡁䅍兙浂䝁䅕䅤㕂䍁䅷䅉桂䝁䄴䅚杁䝁䅫杢浂䡁䅉兙穂䡁䅑杣ㅂ䝁䅍䅤ㅂ䡁䅉党杁䡁䅁杣療䝁䅑兤橂䡁䅑督杁䝁䅅杢歂䍁䅁督療䝁䅷兤あ䝁䅫睢畂䡁䅍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䅌杁䕁䅕䅢求䝁䅍䅤祂䝁䅫睙桂䝁䅷䅌杁䝁䅅杢歂䍁䅁睕桂䝁䅙党あ䡁䅫䅉流䍁䅁兓畂䝁䅙杣桂䡁䅍䅤祂䡁䅕睙あ䡁䅕杣求䍁䄴䅉啂䝁䅧党杁䝁䅍睢瑂䡁䅁兙畂䡁䅫䅉療䝁䅙杚求䡁䅉督杁䝁䄰党あ䝁䅅䅢杁䝁䅕䅢求䝁䅍䅤祂䝁䅫睙桂䝁䅷䅉橂䝁䄸杢歂䡁䅕兡あ䍁䅁兙畂䝁䅑䅉浂䝁䅫䅤あ䝁䅫杢湂䡁䅍睏杁䡁䅁䅢桂䡁䅍䅤灂䝁䅍䅉睂䝁䅫䅣求䍁䅁睙療䝁䄴䅚ㅂ䝁䅫䅤杁䝁䅅杢歂䍁䅁杚灂䡁䅑䅤灂䝁䄴睚穂䑁䅳䅉求䝁䅷党橂䡁䅑杣灂䝁䅍兙獂䍁䅁睙桂䝁䅉䅢求䍁䅁兙畂䝁䅑䅉浂䝁䅷党㑂䝁䅫杙獂䝁䅕䅉橂䝁䄸杢歂䡁䅕兡あ䑁䅳䅉桂䝁䄴䅚杁䝁䅫杢あ䝁䅕杣畂䝁䅅䅤灂䝁䄸杢桂䝁䅷䅉橂䝁䅅杙獂䝁䅕䅉瑂䝁䅅杢桂䝁䅣党瑂䝁䅕杢あ䍁䅁督㕂䡁䅍䅤求䝁䄰督㝁䍁䅁兙畂䝁䅑䅉瑂䝁䅕睙潂䝁䅅杢灂䝁䅍兙獂䍁䅁䅤ㅂ䝁䅉党穂䍁䅁兙畂䝁䅑䅉睂䝁䅫䅣求䡁䅍䅌杁䝁䄰党あ䝁䅅䅢杁䝁䅙杣桂䝁䄰兡畂䝁䅣䅉桂䝁䄴䅚杁䝁䅙兡あ䡁䅑兡畂䝁䅣督獁䍁䅁睙療䝁䄴督あ䡁䅉兤橂䡁䅑兡療䝁䄴䅉穂䝁䅕杣㉂䝁䅫睙求䡁䅍䅌杁䡁䅁党祂䝁䅫兢求䡁䅑党祂䍁䅁督求䝁䅍兤祂䝁䅫䅤㕂䍁䅷䅉桂䝁䄴䅚杁䝁䅍兙楂䝁䅷党杁䝁䄰兙畂䝁䅅睚求䝁䄰党畂䡁䅑䅉浂䝁䄸杣杁䡁䅑䅡求䍁䅁䅣祂䝁䄸䅤求䝁䅍䅤灂䝁䄸杢杁䝁䅅杢歂䍁䅁杣求䝁䅷兡桂䝁䅉兡獂䝁䅫䅤㕂䍁䅁睢浂䍁䅁睙祂䝁䅫䅤灂䝁䅍兙獂䍁䅁兡畂䝁䅙杣桂䡁䅍䅤祂䡁䅕睙あ䡁䅕杣求䍁䄴䅉䩂䡁䅑䅉療䝁䅙杚求䡁䅉督杁䝁䅫䅤穂䍁䅁䅣祂䝁䄸䅚ㅂ䝁䅍䅤穂䍁䅁兤畂䝁䅑党祂䍁䅁䅤潂䝁䅕䅉䉂䝁䅷䅢灂䝁䅕䅚杁䙁䅑兤楂䝁䅕䅉流䍁䅁睑療䝁䄴䅚ㅂ䝁䅫䅤獁䍁䅁兑䝂䕁䅍䅉䑂䝁䅅杙獂䝁䅕䅉呂䡁䅫督あ䝁䅕兢穂䍁䅷䅉䱂䝁䅅杚瑁䙁䅑党橂䝁䅧䅌杁䕁䅧党祂䝁䅫䅤桂䝁䅣党杁䙁䅁䅢桂䡁䅍䅤灂䝁䅍督獁䍁䅁兖畂䝁䅫督あ䡁䅉兤あ䍁䅷䅉兂䝁䄸睤求䡁䅉兌呂䡁䅑杣ㅂ䡁䅑䅌杁䕁䅍睢睂䝁䅕䅌杁䙁䅕睕杁䙁䅑杣桂䡁䅫䅌杁䕁䅙杕䙂䍁䅁睑療䝁䄰䅣療䡁䅍兡あ䝁䅕督獁䍁䅁睑桂䝁䅷杙療䝁䄴䅚獁䍁䅁兙畂䝁䅑䅉䑂䝁䅅䅢睂䝁䅫䅣求䍁䄴䅉啂䝁䅧党杁䝁䅍睢瑂䡁䅁兙畂䡁䅫䅉穂䝁䅕杣㉂䝁䅕督杁䡁䅙兙祂䝁䅫睢ㅂ䡁䅍䅉求䝁䄴䅚杁䝁䄰兙祂䝁䅳党あ䡁䅍䅌杁䝁䅫杢橂䝁䅷兤歂䝁䅫杢湂䍁䅁杢求䡁䅣䅉橂䝁䄸杢穂䡁䅑杣ㅂ䝁䅍䅤灂䝁䄸杢㝁䍁䅁兢桂䝁䅫杢あ䝁䅕杢桂䝁䄴睙求䍁䅷䅉祂䝁䅕䅣桂䝁䅫杣獁䍁䅁兙畂䝁䅑䅉祂䝁䅕兢療䝁䅑党獂䑁䅳䅉灂䝁䄴杚祂䝁䅅督あ䡁䅉兤橂䡁䅑兤祂䝁䅕睏杁䝁䅑兡㉂䝁䅕杣穂䝁䅫杚灂䝁䅕䅚杁䝁䅫杢歂䡁䅕督あ䡁䅉兡桂䝁䅷督㝁䍁䅁兙獂䡁䅑党祂䝁䄴兙あ䝁䅫杤求䍁䅁䅣療䡁䅣党祂䍁䅁睚求䝁䄴党祂䝁䅅䅤灂䝁䄸杢㝁䍁䅁䅡求䝁䅅䅢あ䝁䅧睙桂䡁䅉党㝁䍁䅁䅚桂䡁䅑兙杁䝁䅍党畂䡁䅑党祂䡁䅍睏杁䝁䅅杢歂䍁䅁睚療䡁䅙党祂䝁䄴兢求䝁䄴䅤穂䍁䄴䅉啂䝁䅧党杁䝁䅍睢瑂䡁䅁兙畂䡁䅫䅉㍂䝁䅅督杁䝁䅙睢祂䝁䄰党祂䝁䅷入杁䝁䅳杢療䡁䅣杢杁䝁䅅督杁䕁䅅䅤牂䝁䄸杣求䍁䅁兓畂䡁䅑党祂䝁䄴兙あ䝁䅫睢畂䝁䅅䅢杁䕁䅣杣療䡁䅕䅣杁䕁䅫杢橂䍁䄴䅉桂䝁䄴䅚杁䝁䅍䅡桂䝁䄴睚求䝁䅑䅉灂䡁䅑督杁䝁䄴兙瑂䝁䅕䅉あ䝁䄸䅉䉂䡁䅑睡療䡁䅉党杁䕁䅫杢橂䍁䄴䅉灂䝁䄴䅉䝂䝁䅕杙祂䡁䅕兙祂䡁䅫䅉祁䑁䅁杍硁䍁䄴䅉䉂䡁䅑睡療䡁䅉党杁䕁䅫杢橂䍁䄴䅉㍂䝁䅅督杁䝁䅙睢ㅂ䝁䄴䅚求䝁䅑䅉灂䝁䄴䅉硁䑁䅫兎㕁䍁䅁兙畂䝁䅑䅉灂䡁䅍䅉潂䝁䅕兙歂䡁䅅兤桂䡁䅉䅤求䡁䅉党歂䍁䅁兡畂䍁䅁䅓桂䡁䅉杤求䡁䅫䅌杁䕁䅫䅢獂䝁䅫杢療䝁䅫督畁䅁䅁睰䅅䉁䅉䅁佂䙁䅫睕䙂䑁䅯杒䵂䙁䅉䅁畂䅁䅁䅆䅁䕁䄴兗呂䕁䅕杏䥂䙁䅕村䍂䅁䅁兌䅁䉁䅑䅁佂䙁䅫睕䙂䑁䅯兓䩂䕁䅫杔䅁䭁䅣䅁十䅁䅁杔婂䙁䅍兒㙁䕁䅯睑䩂䅁䅁睎䅁䉁䅑䅁佂䙁䅫睕䙂䑁䅯杓䙂䕁䅷䅒䅁䑁䄴䅁捁䅁䅁杔桂䡁䅍䅚桂䡁䅅睒呂䑁䅯䅕䉂䙁䅑睓䅁䍁䅉䅁十䅁䅁杔婂䙁䅍兒㙁䕁䅳村卂䅁䅁䅤䅁䉁䅁䅁啂䙁䅍䅗㙁䕁䅑杕啂䅁䅁睐䅁䉁䅉䅁佂䙁䅫睕䙂䑁䅯䅔䩂䕁䅫䅁穁䅁䅁䅈䅁䕁䄴兙穂䝁䅑兙硂䕁䅣睕㙁䕁䄰兗卂䕁䅣䅁䅃䅁䅁杅䅁䕁䄴兗呂䕁䅕杏䵂䕁䄴杔䅁䱁䅉䅁十䅁䅁杔婂䙁䅍兒㙁䕁䅷䅕奂䅁䅁睁䅁䉁䅉䅁佂䙁䅫睕䙂䑁䅯兔䉂䙁䅍䅁塁䅁䅁杅䅁䕁䄴兗呂䕁䅕杏乂䕁䅷兓䅁䭁䅍䅁十䅁䅁杔婂䙁䅍兒㙁䕁䄰䅖慂䅁䅁杦䅁䉁䅁䅁佂䙁䅫睕䙂䑁䅯杔奂䅁䅁児䅁䉁䅑䅁佂䙁䅫睕䙂䑁䅯䅕卂䕁䅫兔䅁䙁䅙䅁十䅁䅁䅖呂䙁䅧杖㙁䕁䅅兒兂䅁䅁村䅁䉁䅉䅁佂䙁䅫睕䙂䑁䅯睕呂䕁䅑䅁獁䅁䅁杅䅁䕁䄴兗呂䕁䅕杏啂䕁䅣䅖䅁䙁䄴䅁十䅁䅁杔婂䙁䅍兒㙁䙁䅣兔呂䅁䅁睮䅁䉁䅉䅁佂䙁䅫睕䙂䑁䅯睖呂䕁䄸䅁剁䅁䅁杅䅁䕁䄴兗呂䕁䅕杏塂䙁䅑睕䅁䉁䅷䅁十䅁䅁杔婂䙁䅍兒㙁䙁䅯睖呂䅁䅁䅲䅁䍁䅁䅁佂䝁䅅督歂䝁䅅兣䑂䕁䄰杏䭂䕁䅍䅖䑂䍁䄴杒䅁䑁䅫䅁捁䅁䅁杔桂䡁䅍䅚桂䡁䅅睒呂䑁䅯䅖䩂䕁䅷兒䅁䍁䅙䅁捁䅁䅁杔桂䡁䅍䅚桂䡁䅅睑乂䑁䅯䅖䍂䕁䅷䅖䅁䕁䅅䅁捁䅁䅁杔桂䡁䅍䅚桂䡁䅅睒乂䑁䅯䅒奂䙁䅫杔䅁䍁䅕䅁捁䅁䅁杔桂䡁䅍䅚桂䡁䅅睒呂䑁䅯兑乂䙁䅣䅒䅁䑁䅷䅁捁䅁䅁杔桂䡁䅍䅚桂䡁䅅睒呂䑁䅯兑兂䕁䄸睒䅁䅁䄰䅁捁䅁䅁杔桂䡁䅍䅚桂䡁䅅睒呂䑁䅯村䙂䕁䅍杔䅁䉁䅙䅁捁䅁䅁杔桂䡁䅍䅚桂䡁䅅睒呂䑁䅯睑呂䙁䅑兒䅁䑁䅳䅁捁䅁䅁杔桂䡁䅍䅚桂䡁䅅睒呂䑁䅯杒呂䙁䅑杕䅁䑁䅯䅁ぁ䅁䅁䅖求䡁䅉杣桂䙁䅙党穂䡁䅑䅉䩂䝁䄴䅚ㅂ䡁䅍䅤祂䝁䅫党穂䍁䅁兓畂䝁䅍杌䅁䵁䅯䅁捁䅁䅁杔桂䡁䅍䅚桂䡁䅅睒呂䑁䅯䅕偂䕁䄸䅔䅁䉁䅧䅁捁䅁䅁杔桂䡁䅍䅚桂䡁䅅睒呂䑁䅯杕偂䕁䅍睓䅁䉁䄸䅁捁䅁䅁杔桂䡁䅍䅚桂䡁䅅睒呂䑁䅯兖䝂䙁䅁兓䅁䅁䄸䅁允䅁䅁兖呂䍁䅁睒䉂䕁䅅䅕䅁䩁䉣䅁畁䅁䅁杔療䡁䅉䅤潂䡁䅣党穂䡁䅑䅉兂䝁䅫䅣求䍁䅁睑療䝁䄰䅣桂䝁䄴入䅁䱁䅑䅁祁睃䅁杔療䡁䅉䅤潂䡁䅣党穂䡁䅑䅉兂䝁䅫䅣求䍁䅁睑療䝁䄰䅣桂䝁䄴入獁䍁䅁䅤療䝁䅣党あ䝁䅧党祂䍁䅁睤灂䡁䅑䅡杁䝁䅫䅤穂䍁䅁督ㅂ䝁䅉督灂䝁䅑兡桂䡁䅉兡求䡁䅍䅌杁䝁䅕杢湂䝁䅅睚求䡁䅍䅉灂䝁䄴䅉あ䝁䅧党杁䝁䄰兙畂䡁䅕杚桂䝁䅍䅤ㅂ䡁䅉党杁䝁䅅杢歂䍁䅁督桂䝁䅷党杁䝁䄸杚杁䡁䅣兙あ䝁䅕杣瑁䡁䅉党獂䝁䅅䅤求䝁䅑䅉灂䝁䄴杚祂䝁䅅督あ䡁䅉兤橂䡁䅑兤祂䝁䅕䅉睂䡁䅉睢歂䡁䅕睙あ䡁䅍䅉灂䝁䄴䅉佂䝁䄸杣あ䝁䅧䅉䉂䝁䄰党祂䝁䅫睙桂䍁䅁兙畂䝁䅑䅉䑂䝁䅅杢桂䝁䅑兙畁䍁䅁兓あ䍁䅁睢睂䝁䅕杣桂䡁䅑党穂䍁䅁䅤潂䡁䅉睢ㅂ䝁䅣䅡杁䡁䅑睤療䍁䅁督求䝁䅣兢求䝁䄴䅤穂䍁䅷䅉䙂䝁䄴睚灂䝁䄴党求䡁䅉党歂䍁䅁睕あ䝁䅕党獂䍁䅁䅕祂䝁䅕督穂䡁䅕杣求䍁䅁䅕灂䡁䅁党杁䍁䅧睕兂䙁䅁克杁䝁䅅杢歂䍁䅁䅕祂䝁䅕睙桂䡁䅍䅤杁䕁䅫杢浂䡁䅉兙穂䡁䅑杣ㅂ䝁䅍䅤ㅂ䡁䅉党杁䝁䅅杢歂䍁䅁兒畂䝁䅣兡畂䝁䅕党祂䝁䅕䅚杁䙁䅍入穂䡁䅑党瑂䡁䅍䅉潁䙁䅁杣求䝁䅍兙穂䡁䅑克畁䍁䅁䅖潂䝁䅕䅉呂䙁䅁䅕杁䡁䅍党湂䝁䄰党畂䡁䅑䅉睂䡁䅉睢㉂䝁䅫䅚求䡁䅍䅉獂䝁䅅杣湂䝁䅕兌歂䝁䅫兙瑂䝁䅕䅤求䡁䅉䅉桂䝁䄴䅚杁䝁䅧兡湂䝁䅧兌睂䡁䅉党穂䡁䅍兤祂䝁䅕䅉穂䡁䅑党求䝁䅷䅉睂䝁䅫䅣求䝁䅷兡畂䝁䅕䅉穂䡁䅫督あ䝁䅕兢穂䍁䅁杚療䡁䅉䅉ㅂ䡁䅍党杁䝁䅫杢杁䡁䅣兙あ䝁䅕杣杁䝁䅫杢浂䡁䅉兙穂䡁䅑杣ㅂ䝁䅍䅤ㅂ䡁䅉党杁䝁䅅䅣睂䝁䅷兡橂䝁䅅䅤灂䝁䄸杢穂䍁䅷䅉㍂䝁䅧兡橂䝁䅧䅉桂䡁䅉党杁䡁䅁杣灂䝁䄰兙祂䝁䅫䅢㕂䍁䅁杣求䝁䅷兙あ䝁䅕䅚杁䡁䅑睢杁䝁䅑杣灂䝁䄴睡灂䝁䄴睚杁䡁䅣兙あ䝁䅕杣杁䡁䅍入穂䡁䅑党瑂䡁䅍杌杁䕁䅫䅤穂䍁䅁䅣祂䝁䄸䅚ㅂ䝁䅍䅤穂䍁䅁兙祂䝁䅕䅉桂䝁䅷督療䍁䅁兤穂䝁䅕䅚杁䝁䅙睢祂䍁䅁䅡㕂䝁䅑杣療䝁䅕䅢求䝁䅍䅤祂䝁䅫睙杁䡁䅁睢㍂䝁䅕杣杁䡁䅍入穂䡁䅑党瑂䡁䅍䅌杁䡁䅣兙穂䡁䅑党㍂䝁䅅䅤求䡁䅉䅉穂䡁䅫督あ䝁䅕兢穂䍁䅷䅉穂䝁䅕兡穂䝁䄰兡橂䍁䅁杣求䡁䅍兡獂䝁䅫党畂䝁䅍入獁䍁䅁兙畂䝁䅑䅉療䡁䅑䅡求䡁䅉䅉桂䡁䅁䅣獂䝁䅫睙桂䡁䅑兡療䝁䄴督畁䍁䅁兓畂䍁䅁兙歂䝁䅑兡あ䝁䅫睢畂䍁䅷䅉あ䝁䅧兡穂䍁䅁督求䝁䅣兢求䝁䄴䅤杁䝁䄰兙牂䝁䅕督杁䡁䅁杣療䝁䅑兤橂䡁䅑督杁䝁䅙睢祂䍁䅁兡畂䝁䅑兤穂䡁䅑杣灂䝁䅅䅢杁䡁䅁䅢桂䝁䄴䅤杁䡁䅁兡睂䝁䅫杢湂䍁䅁督㕂䡁䅍䅤求䝁䄰督杁䝁䅅杢歂䍁䅁睙求䡁䅉䅤桂䝁䅫杢杁䡁䅍䅤祂䡁䅕睙あ䡁䅕杣桂䝁䅷䅉桂䡁䅁䅣獂䝁䅫睙桂䡁䅑兡療䝁䄴督畁䍁䅁䅖潂䝁䅕䅉兂䡁䅉党橂䝁䅅督あ䍁䅁督求䝁䅣兢求䝁䄴䅤杁䝁䄸杚浂䝁䅕杣穂䍁䅁督あ䝁䄸杣瑂䡁䅣兙あ䝁䅕杣杁䝁䅅杢歂䍁䅁睤桂䡁䅍䅤求䡁䅣兙あ䝁䅕杣杁䡁䅑党橂䝁䅧杢療䝁䅷睢湂䡁䅫䅉睂䡁䅉睢歂䡁䅕睙あ䡁䅍䅌杁䡁䅁杣求䝁䅍兙穂䡁䅑䅌杁䝁䅅杢歂䍁䅁杣求䝁䅫杢浂䝁䄸杣橂䝁䅕䅚杁䝁䅍睢畂䝁䅍杣求䡁䅑党杁䡁䅁杣療䝁䅑兤橂䡁䅑督獁䍁䅁兡畂䝁䅍䅢ㅂ䝁䅑兡畂䝁䅣䅉祂䝁䅕兡畂䝁䅙睢祂䝁䅍党歂䍁䅁睙療䝁䄴睙祂䝁䅕䅤求䍁䅁䅣灂䡁䅁党獁䍁䅁兢桂䝁䄴䅡療䝁䅷党穂䍁䅷䅉楂䝁䄸䅥杁䝁䅍兤獂䡁䅙党祂䡁䅑督獁䍁䅁杤桂䡁䅕䅢あ䡁䅍䅉桂䝁䄴䅚杁䝁䅍兙あ䝁䅍䅡杁䝁䅉兙穂䝁䅫杢穂䍁䅷䅉睂䡁䅕兢睂䍁䅁䅢灂䝁䅙䅤杁䡁䅍䅤桂䡁䅑兡療䝁䄴督獁䍁䅁睢灂䝁䅷䅉㍂䝁䅅䅤求䡁䅉䅉穂䝁䅕䅣桂䡁䅉兙あ䝁䄸杣穂䍁䅷䅉楂䝁䅫睢浂䝁䅫䅢あ䡁䅉兙あ䝁䅫睢畂䍁䅁兤畂䝁䅫䅤穂䍁䅷䅉穂䡁䅑党求䝁䅷䅉橂䝁䅅督灂䝁䄴睚杁䡁䅁兡睂䝁䅕督獁䍁䅁兙畂䝁䅑䅉楂䝁䅅杣瑁䡁䅣杣桂䡁䅁䅣求䝁䅑䅉橂䝁䄸杢橂䡁䅉党あ䝁䅕䅉橂䡁䅫䅢灂䝁䄴䅚求䡁䅉䅉睂䝁䅫䅣求䡁䅍䅌杁䝁䅅督杁䡁䅣党獂䝁䅷䅉桂䡁䅍䅉睂䝁䅫䅣求䝁䅷兡畂䝁䅕䅉穂䡁䅫督あ䝁䅕兢杁䝁䅯睢灂䝁䄴䅤穂䍁䅷䅉浂䝁䅫䅤あ䝁䅫杢湂䡁䅍䅌杁䡁䅍䅣求䝁䅍兡桂䝁䅷兡㙂䝁䅕䅚杁䝁䅍睢瑂䡁䅁睢畂䝁䅕杢あ䡁䅍䅌杁䝁䅅杢歂䍁䅁睢あ䝁䅧党祂䍁䅁党畂䡁䅙兡祂䝁䄸杢瑂䝁䅕杢あ䝁䅅䅢杁䝁䅅杢歂䍁䅁党畂䝁䅣兡畂䝁䅕党祂䝁䅕䅚杁䡁䅍睢獂䡁䅕䅤灂䝁䄸杢穂䍁䄴䅉啂䝁䅧党杁䝁䅍睢瑂䡁䅁兙畂䡁䅫䅉穂䝁䅕䅢獂䡁䅍䅉灂䡁䅑督杁䡁䅣兙あ䝁䅕杣杁䝁䅫杢浂䡁䅉兙穂䡁䅑杣ㅂ䝁䅍䅤ㅂ䡁䅉党杁䡁䅁杣療䝁䅑兤橂䡁䅑督杁䡁䅕杢歂䝁䅕杣杁䡁䅑䅡求䍁䅁䅕桂䡁䅉睡噂䙁䅍兑獁䍁䅁睒求䝁䄴党㉂䝁䅅䅉兂䝁䅫䅣求䍁䅁兙畂䝁䅑䅉兂䡁䅉党橂䝁䅅督あ䍁䅷䅉兂䝁䅕杣瑂䝁䅅䅢療䝁䅳䅌杁䝁䅅杢歂䍁䅁杔療䡁䅉䅤潂䡁䅣党穂䡁䅑䅉兂䝁䅫䅣求䍁䅁睑療䝁䄰䅣桂䝁䄴入杁䝁䅉杣桂䝁䄴䅚穂䍁䅁䅣祂䝁䅫兢桂䡁䅉兡獂䡁䅫䅉あ䝁䄸䅉灂䝁䄴督あ䝁䅅䅢獂䝁䅅䅤灂䝁䄸杢杁䝁䅍睢畂䡁䅑杣桂䝁䅍䅤療䡁䅉督畁䍁䅁杔療䡁䅉䅤潂䡁䅣党穂䡁䅑䅉兂䝁䅫䅣求䍁䅁睑療䝁䄰䅣桂䝁䄴入杁䡁䅣兙穂䍁䅁兡畂䝁䅍睢祂䡁䅁睢祂䝁䅅䅤求䝁䅑䅉灂䝁䄴䅉硁䑁䅫李㉁䍁䅁兙畂䝁䅑䅉灂䡁䅍䅉潂䝁䅕兙歂䡁䅅兤桂䡁䅉䅤求䡁䅉党歂䍁䅁兡畂䍁䅁杖桂䝁䄴睙療䡁䅕杤求䡁䅉䅌杁䙁䅣兙穂䝁䅧兡畂䝁䅣䅤療䝁䄴杌䅁䩁䉷䅁㡂睄䅁䅔灂䝁䄴䅚穂䝁䅅入杁䕁䅍睢祂䡁䅁睢祂䝁䅅䅤灂䝁䄸杢獁䍁䅁䅤療䝁䅣党あ䝁䅧党祂䍁䅁睤灂䡁䅑䅡杁䝁䅫䅤穂䍁䅁督ㅂ䝁䅉督灂䝁䅑兡桂䡁䅉兡求䡁䅍䅌杁䡁䅁杣療䡁䅙兡歂䝁䅕督杁䡁䅣兙あ䝁䅕杣杁䝁䄰兙畂䝁䅅睚求䝁䄰党畂䡁䅑䅉桂䝁䄴䅚杁䡁䅉睢桂䝁䅑䅉灂䝁䄴杚祂䝁䅅督あ䡁䅉兤橂䡁䅑兤祂䝁䅕䅉睂䡁䅉睢歂䡁䅕睙あ䡁䅍䅉桂䝁䄴䅚杁䡁䅍党祂䡁䅙兡橂䝁䅕督杁䝁䅫杢杁䡁䅑䅡求䍁䅁兖畂䝁䅫䅤求䝁䅑䅉呂䡁䅑兙あ䝁䅕督杁䝁䅅杢歂䍁䅁兡畂䡁䅑党祂䝁䄴兙あ䝁䅫睢畂䝁䅅䅢獂䡁䅫杌杁䕁䅫䅤杁䝁䄸䅣求䡁䅉兙あ䝁䅕督杁䡁䅑䅡祂䝁䄸兤湂䝁䅧䅉あ䡁䅣睢杁䡁䅍党湂䝁䄰党畂䡁䅑督獁䍁䅁兓祂䡁䅉兡湂䝁䅅䅤灂䝁䄸杢杁䝁䅅杢歂䍁䅁兓畂䝁䅙杣桂䡁䅍䅤祂䡁䅕睙あ䡁䅕杣求䍁䄴䅉啂䝁䅧党杁䕁䅫杣祂䝁䅫睚桂䡁䅑兡療䝁䄴䅉穂䝁䅕睚瑂䝁䅕杢あ䍁䅁兢桂䝁䄴兤浂䝁䅅睙あ䡁䅕杣求䡁䅍䅉桂䝁䄴䅚杁䝁䄰兙祂䝁䅳党あ䡁䅍䅉橂䝁䅕杢あ䝁䅕杣杁䡁䅁兡㉂䝁䄸䅤獁䍁䅁䅢桂䡁䅑党祂䝁䅅䅢杁䝁䄰睢㉂䝁䅕䅉灂䡁䅉杣灂䝁䅣兙あ䝁䅫睢畂䍁䅁督㕂䡁䅍䅤求䝁䄰督獁䍁䅁兙畂䝁䅑䅉灂䡁䅉杣灂䝁䅣兙あ䝁䅫睢畂䍁䅁睙療䝁䄴䅤祂䝁䄸䅢穂䍁䅁兤畂䝁䅑党祂䍁䅁䅤潂䝁䅕䅉慂䝁䅫兢瑂䝁䅅䅤灂䝁䅍䅉楂䡁䅉兙畂䝁䅑睏杁䝁䅧睢穂䝁䅕䅉祂䝁䅕党獂䍁䅁䅤祂䝁䅅杤求䝁䅷党祂䡁䅍䅉ㅂ䝁䄴䅚求䡁䅉䅉あ䝁䅧党杁䙁䅁党祂䡁䅉睢あ䍁䅁杙祂䝁䅅杢歂䑁䅳䅉桂䝁䄴䅚杁䝁䅍䅡求䝁䄰兡橂䝁䅅䅢杁䝁䅫杢煂䝁䅕睙あ䝁䅫睢畂䍁䅁督㕂䡁䅍䅤求䝁䄰督獁䍁䅁杤桂䡁䅉兡桂䝁䅉䅢求䍁䅁杣桂䡁䅑党杁䝁䅫杣祂䝁䅫睚桂䡁䅑兡療䝁䄴䅉穂䡁䅫督あ䝁䅕兢穂䍁䅷䅉浂䝁䅷睢㍂䍁䅁兢求䡁䅑党祂䡁䅍䅌杁䡁䅣党桂䡁䅑䅡求䡁䅉䅉穂䡁䅑兙あ䝁䅫睢畂䡁䅍䅌杁䡁䅍睢灂䝁䅷䅉瑂䝁䄸兡穂䡁䅑兤祂䝁䅕䅉穂䝁䅕杢穂䝁䄸杣穂䍁䅷䅉桂䝁䄴䅚杁䡁䅉党瑂䝁䄸䅤求䍁䅁兢療䝁䄴兡あ䝁䄸杣灂䝁䄴睚杁䝁䅅杢歂䍁䅁睙療䝁䄴䅤祂䝁䄸䅢杁䡁䅍入穂䡁䅑党瑂䡁䅍杌杁䕁䅫䅤杁䝁䅅䅢穂䝁䄸䅉療䝁䅙杚求䡁䅉督杁䡁䅉党睂䝁䅅兡祂䍁䅁兙畂䝁䅑䅉祂䝁䅕䅣獂䝁䅅睙求䝁䄰党畂䡁䅑䅉睂䝁䅅杣あ䡁䅍䅉浂䝁䄸杣杁䝁䅫䅤穂䍁䅁兡祂䡁䅉兡湂䝁䅅䅤灂䝁䄸杢杁䡁䅍入穂䡁䅑党瑂䡁䅍䅉桂䝁䄴䅚杁䝁䅍睢畂䡁䅑杣療䝁䅷督獁䍁䅁兙畂䝁䅑䅉歂䝁䅫兙瑂䝁䅕䅤求䡁䅉䅉穂䡁䅑党求䝁䅷䅉あ䡁䅕杙灂䝁䄴睚㝁䍁䅁睚獂䝁䄸杙桂䝁䅷䅉睂䝁䄸督灂䡁䅑兡療䝁䄴兡畂䝁䅣䅉穂䡁䅫督あ䝁䅕兢杁䡁䅁睢穂䝁䅫䅤灂䝁䄸杢灂䝁䄴睚杁䝁䅅杢歂䍁䅁睚ㅂ䝁䅫䅚桂䝁䄴睙求䍁䅷䅉㉂䝁䅅杣灂䝁䅅杙獂䝁䅕䅉祂䝁䅅䅤求䍁䅁兡祂䡁䅉兡湂䝁䅅䅤灂䝁䄸杢獁䍁䅁睤灂䡁䅉党獂䝁䅕督穂䍁䅁兡祂䡁䅉兡湂䝁䅅䅤灂䝁䄸杢杁䝁䄰兙畂䝁䅅睚求䝁䄰党畂䡁䅑䅌杁䝁䄰兙橂䝁䅧兡畂䝁䅕兌あ䝁䄸兌瑂䝁䅅睙潂䝁䅫杢求䍁䅁睙療䝁䄰兢ㅂ䝁䄴兡橂䝁䅅䅤灂䝁䄸杢杁䡁䅑党橂䝁䅧杢療䝁䅷睢湂䡁䅫䅉穂䝁䄸䅢ㅂ䡁䅑兡療䝁䄴督杁䝁䅅杢歂䍁䅁兢療䝁䅉兡獂䝁䅕䅉歂䝁䅕杤灂䝁䅍党杁䝁䅅䅣睂䝁䅷兡橂䝁䅅䅤灂䝁䄸杢穂䑁䅳䅉桂䝁䄴䅚杁䝁䅫杣祂䝁䅫睚桂䡁䅑兡療䝁䄴䅉穂䝁䅍䅡求䝁䅑兤獂䝁䅫杢湂䍁䅁䅤求䝁䅍䅡畂䝁䄸䅢療䝁䅣入杁䡁䅍睢獂䡁䅕䅤灂䝁䄸杢穂䑁䅳䅉桂䝁䄴䅚杁䝁䅫杢歂䡁䅕督あ䡁䅉兡桂䝁䅷䅉䩂䝁䄴䅤求䡁䅉杢求䡁䅑䅉療䝁䅙䅉啂䝁䅧兡畂䝁䅣督杁䡁䅑党橂䝁䅧杢療䝁䅷睢湂䡁䅫䅉穂䝁䄸䅢ㅂ䡁䅑兡療䝁䄴督獁䍁䅁䅚桂䡁䅑兙杁䝁䅅睙硂䡁䅕兡穂䝁䅫䅤灂䝁䄸杢杁䝁䅅杢歂䍁䅁兢桂䝁䄴兙湂䝁䅕兢求䝁䄴䅤杁䡁䅍入穂䡁䅑党瑂䡁䅍䅌杁䝁䅅杢歂䍁䅁睙ㅂ䡁䅍䅤療䝁䄰䅉求䝁䅷党橂䡁䅑杣療䝁䄴兡橂䍁䅁党硂䡁䅕兡睂䝁䄰党畂䡁䅑䅉浂䝁䄸杣杁䝁䅅䅣睂䝁䅷兡橂䝁䅅䅤灂䝁䄸杢穂䍁䅁兤畂䝁䅑党祂䍁䅁䅤潂䝁䅕䅉䙂䝁䅷党橂䡁䅍入穂䍁䅁杙祂䝁䅅杢歂䍁䄴䅉啂䝁䅧党杁䕁䅫杢浂䡁䅉兙穂䡁䅑杣ㅂ䝁䅍䅤ㅂ䡁䅉党杁䡁䅍党湂䝁䄰党畂䡁䅑䅉睂䡁䅉睢㉂䝁䅫䅚求䡁䅍䅉卂䝁䄸兙歂䍁䅁杗灂䡁䅁䅣求䡁䅉䅉呂䡁䅫督あ䝁䅕兢杁䝁䅍睢瑂䡁䅁杣灂䡁䅍党歂䍁䅁睢浂䍁䅁䅖瑁䡁䅍䅡桂䡁䅁党歂䍁䅁睙療䝁䄴睙祂䝁䅕䅤求䍁䅁兙畂䝁䅑䅉穂䡁䅑党求䝁䅷䅉楂䝁䅅杣祂䝁䅫党祂䡁䅍䅌杁䝁䅉兙祂䡁䅉兡求䡁䅉䅉あ䡁䅉兙畂䡁䅍杚求䡁䅉䅉瑂䝁䅅睙潂䝁䅫杢求䍁䅷䅉桂䝁䄴䅚杁䡁䅙兙祂䝁䅫兙楂䝁䅷党杁䝁䅷党畂䝁䅣䅤潂䍁䅁杙桂䡁䅉杣灂䝁䅕杣穂䍁䅷䅉㍂䝁䅧兡橂䝁䅧䅉桂䡁䅉党杁䡁䅕督求䝁䅑䅉浂䝁䄸杣杁䝁䅧兡湂䝁䅧睤桂䡁䅫䅉祂䝁䅕睙療䝁䄴督あ䡁䅉兤橂䡁䅑兡療䝁䄴䅌杁䡁䅁兙㉂䝁䅫杢湂䍁䅁兙畂䝁䅑䅉祂䝁䅕督ㅂ䡁䅉杚桂䝁䅍兡畂䝁䅣䅌杁䡁䅉睢桂䝁䅑䅉㍂䝁䅫䅚求䝁䄴兡畂䝁䅣䅌杁䝁䄰党歂䝁䅫兙畂䍁䅁兙畂䝁䅑䅉穂䝁䅧睢ㅂ䝁䅷䅚求䡁䅉䅉橂䝁䄸杢穂䡁䅑杣ㅂ䝁䅍䅤灂䝁䄸杢獁䍁䅁兙畂䝁䅑䅉祂䝁䅕䅣桂䝁䅫杣穂䍁䅁䅤療䍁䅁䅤ㅂ䝁䄴杢求䝁䅷督杁䝁䅅杢歂䍁䅁杙祂䝁䅫䅚湂䝁䅕督畁䍁䅁䅖潂䝁䅫督杁䡁䅍党湂䝁䄰党畂䡁䅑䅉桂䝁䅷督療䍁䅁睢浂䝁䅙党祂䡁䅍䅉祂䝁䅕䅚灂䡁䅉党橂䡁䅑兡㉂䝁䅕䅉桂䝁䄴䅚杁䝁䄴睢畂䍁䄰杣求䝁䅑兡祂䝁䅕睙あ䝁䅫杤求䍁䅁睙祂䝁䅅督潂䍁䅁睙ㅂ䡁䅍䅡灂䝁䄸杢穂䍁䅷䅉瑂䝁䄸杤求䝁䅅杙獂䝁䅕䅉楂䝁䅅杣祂䝁䅫党祂䡁䅍䅉あ䝁䄸䅉求䝁䄴䅡桂䝁䄴睙求䍁䅁䅡灂䝁䅣䅡㍂䝁䅅入杁䡁䅍兙浂䝁䅕䅤㕂䍁䅁兙あ䍁䅁䅢療䝁䅍兙あ䝁䅫睢畂䡁䅍䅉穂䡁䅕睙潂䍁䅁兙穂䍁䅁䅤療䝁䅷䅢杁䝁䅉睢療䡁䅑䅡穂䍁䅷䅉求䝁䄴䅚杁䡁䅑党祂䝁䄰兡畂䝁䅅䅢穂䍁䅷䅉祂䝁䄸兙歂䍁䅁兢桂䡁䅉睡灂䝁䄴睚獁䍁䅁杚祂䝁䅕党㍂䝁䅅入杁䝁䄸杚浂䍁䄰杣桂䝁䄰䅣穂䍁䅷䅉瑂䝁䅕䅚灂䝁䅅杢穂䍁䅁兙畂䝁䅑䅉祂䝁䄸兙歂䡁䅍兡歂䝁䅕䅉楂䝁䅅杣祂䝁䅫党祂䍁䅁党畂䝁䅑督獁䍁䅁杙祂䝁䅫䅚湂䝁䅕䅉穂䡁䅕䅣睂䝁䄸杣あ䡁䅍䅌杁䡁䅕䅤灂䝁䅷兡あ䡁䅫䅉睂䝁䄸䅢求䡁䅍䅌杁䝁䅅杢歂䍁䅁睢あ䝁䅧党祂䍁䅁杚灂䡁䅧党歂䍁䅁杣療䝁䅅䅚㍂䝁䅅入杁䝁䅧兙㙂䝁䅅杣歂䡁䅍睏杁䡁䅍䅣求䝁䅍兡桂䝁䅷䅤㕂䍁䅁杙桂䡁䅉杣灂䝁䅕杣穂䑁䅳䅉睂䡁䅉党浂䝁䄸杣瑂䝁䅕䅚杁䡁䅑兙睂䝁䅕䅉桂䝁䄴䅚杁䡁䅉睢桂䝁䅑䅉穂䝁䅅杚求䡁䅑入杁䝁䅅睙橂䝁䅕督穂䝁䄸杣㕂䍁䅁䅣祂䝁䄸䅚ㅂ䝁䅍䅤穂䍁䅷䅉桂䡁䅍䅉㍂䝁䅕䅢獂䍁䅁兙穂䍁䅁杣桂䝁䅫䅢杁䡁䅁杣療䝁䅑兤橂䡁䅑督獁䍁䅁督ㅂ䝁䅍䅡杁䝁䅅督杁䡁䅍兡湂䝁䄴兙獂䡁䅍䅉桂䝁䄴䅚杁䝁䅷兡湂䝁䅧䅤穂䍁䅷䅉穂䡁䅑杣ㅂ䝁䅍䅤ㅂ䡁䅉党穂䍁䅷䅉浂䝁䄸兤畂䝁䅑兙あ䝁䅫睢畂䡁䅍䅌杁䝁䅯兤畂䝁䅍䅤灂䝁䄸杢杁䝁䅉睢㑂䝁䅕督獁䍁䅁兙畂䝁䅑䅉穂䝁䅫睚畂䡁䅍杌杁䕁䅷兡畂䝁䅑督桂䡁䅫䅉䑂䝁䄸杣睂䝁䄸杣桂䡁䅑兡療䝁䄴䅉㍂䝁䅅督杁䝁䅙睢ㅂ䝁䄴䅚求䝁䅑䅉灂䝁䄴䅉硁䑁䅫兎ㅁ䍁䅁兙畂䝁䅑䅉灂䡁䅍䅉潂䝁䅕兙歂䡁䅅兤桂䡁䅉䅤求䡁䅉党歂䍁䅁兡畂䍁䅁睔瑂䝁䅅䅡桂䍁䅷䅉佂䝁䅕杙祂䝁䅅督牂䝁䅅杌䅁䭁䉯䅁佁睃䅁杔療䡁䅉䅤潂䡁䅣党穂䡁䅑䅉兂䝁䅫䅣求䍁䅁睑療䝁䄰䅣桂䝁䄴入獁䍁䅁䅤療䝁䅣党あ䝁䅧党祂䍁䅁睤灂䡁䅑䅡杁䝁䅫䅤穂䍁䅁督ㅂ䝁䅉督灂䝁䅑兡桂䡁䅉兡求䡁䅍䅌杁䝁䅕杢湂䝁䅅睚求䡁䅍䅉灂䝁䄴䅉あ䝁䅧党杁䝁䄰兙畂䡁䅕杚桂䝁䅍䅤ㅂ䡁䅉党杁䝁䅅杢歂䍁䅁督ㅂ䡁䅁䅣獂䡁䅫䅉療䝁䅙䅉㍂䝁䅅䅤求䡁䅉兌祂䝁䅕䅢桂䡁䅑党歂䍁䅁兡畂䝁䅙杣桂䡁䅍䅤祂䡁䅕睙あ䡁䅕杣求䍁䅁䅣祂䝁䄸䅚ㅂ䝁䅍䅤穂䍁䅁兡畂䍁䅁杔療䡁䅉䅤潂䍁䅁兑瑂䝁䅕杣灂䝁䅍兙畁䍁䅁兓あ䍁䅁睢睂䝁䅕杣桂䡁䅑党穂䍁䅁兡畂䍁䅁䅤㍂䝁䄸䅉穂䝁䅕睚瑂䝁䅕杢あ䡁䅍䅌杁䕁䅕杢湂䝁䅫杢求䝁䅕杣求䝁䅑䅉呂䡁䅑党求䝁䅷䅉兂䡁䅉党穂䡁䅍兤祂䝁䅕䅉兂䝁䅫䅣求䍁䅁䅋呂䙁䅁䅕灁䍁䅁兙畂䝁䅑䅉兂䡁䅉党橂䝁䅅督あ䍁䅁兓畂䝁䅙杣桂䡁䅍䅤祂䡁䅕睙あ䡁䅕杣求䍁䅁兙畂䝁䅑䅉䙂䝁䄴睚灂䝁䄴党求䡁䅉党歂䍁䅁睕㕂䡁䅍䅤求䝁䄰督杁䍁䅧䅕祂䝁䅕睙桂䡁䅍䅤灁䍁䄴䅉啂䝁䅧党杁䙁䅍䅕兂䍁䅁督求䝁䅣兢求䝁䄴䅤杁䝁䄸杚浂䝁䅕杣穂䍁䅁䅢桂䡁䅉睚求䍁䄰䅚灂䝁䅅兢求䡁䅑党祂䍁䅁兙畂䝁䅑䅉潂䝁䅫睚潂䍁䄰䅣祂䝁䅕督穂䡁䅕杣求䍁䅁督あ䝁䅕党獂䍁䅁䅣灂䡁䅁党獂䝁䅫杢求䍁䅁督㕂䡁䅍䅤求䝁䄰督杁䝁䅙睢祂䍁䅁兤穂䝁䅕䅉灂䝁䄴䅉㍂䝁䅅䅤求䡁䅉䅉灂䝁䄴杚祂䝁䅅督あ䡁䅉兤橂䡁䅑兤祂䝁䅕䅉桂䡁䅁䅣獂䝁䅫睙桂䡁䅑兡療䝁䄴督獁䍁䅁睤潂䝁䅫睙潂䍁䅁兙祂䝁䅕䅉睂䡁䅉兡瑂䝁䅅杣灂䝁䅷入杁䡁䅉党獂䝁䅅䅤求䝁䅑䅉あ䝁䄸䅉歂䡁䅉兡畂䝁䅳兡畂䝁䅣䅉㍂䝁䅅䅤求䡁䅉䅉穂䡁䅫督あ䝁䅕兢穂䍁䄴䅉䩂䡁䅑督杁䡁䅁杣療䝁䅑兤橂䡁䅑督杁䝁䅅杣求䍁䅁兙獂䡁䅍睢杁䡁䅕督求䝁䅑䅉浂䝁䄸杣杁䝁䅧入歂䡁䅉睢求䝁䅷党橂䡁䅑杣灂䝁䅍䅉睂䝁䄸睤求䡁䅉䅉穂䡁䅫督あ䝁䅕兢穂䍁䅷䅉㍂䝁䅅督あ䝁䅕睤桂䡁䅑党祂䍁䅁督㕂䡁䅍䅤求䝁䄰督獁䍁䅁督求䝁䅫督瑂䝁䅫睙杁䡁䅉党穂䝁䅫䅢灂䝁䅕杢橂䡁䅫䅌杁䝁䅅杢歂䍁䅁睢あ䝁䅧党祂䍁䅁兙睂䡁䅁䅢灂䝁䅍兙あ䝁䅫睢畂䡁䅍杌杁䕁䅫杢杁䝁䅅䅚歂䝁䅫䅤灂䝁䄸杢獁䍁䅁䅤潂䝁䅫督杁䡁䅍党湂䝁䄰党畂䡁䅑䅉瑂䝁䅅睡求䡁䅍䅉睂䡁䅉睢歂䡁䅕睙あ䡁䅍䅉浂䝁䄸杣杁䝁䅫杢歂䡁䅕督あ䡁䅉兡桂䝁䅷䅉睂䝁䅷兙畂䡁䅑䅉睂䝁䅫䅣灂䝁䄴睚杁䡁䅍入穂䡁䅑党瑂䡁䅍䅉桂䝁䄴䅚杁䝁䅍党祂䡁䅑兙灂䝁䄴䅉穂䡁䅑杣ㅂ䝁䅍䅤ㅂ䡁䅉兙獂䍁䅁兙睂䡁䅁䅢灂䝁䅍兙あ䝁䅫睢畂䡁䅍杌杁䙁䅑䅡求䍁䅁䅕祂䝁䅕睙桂䡁䅍䅤杁䡁䅍党湂䝁䄰党畂䡁䅑䅉睂䡁䅉睢㉂䝁䅫䅚求䡁䅍䅉穂䡁䅑睢祂䝁䄰睤桂䡁䅑党祂䍁䅁兙畂䝁䅑䅉㍂䝁䅅督あ䝁䅕睤桂䡁䅑党祂䍁䅁䅤求䝁䅍䅡畂䝁䄸䅢療䝁䅣入杁䡁䅁杣療䝁䅑兤橂䡁䅑督獁䍁䅁䅣祂䝁䅕睙桂䡁䅍䅤獁䍁䅁兙畂䝁䅑䅉祂䝁䅕兡畂䝁䅙睢祂䝁䅍党歂䍁䅁睙療䝁䄴睙祂䝁䅕䅤求䍁䅁䅣祂䝁䄸䅚ㅂ䝁䅍䅤穂䍁䅷䅉灂䝁䄴睙獂䡁䅕䅚灂䝁䄴睚杁䡁䅉党灂䝁䄴杚療䡁䅉睙求䝁䅑䅉橂䝁䄸杢橂䡁䅉党あ䝁䅕䅉睂䝁䅫䅣求䍁䅷䅉瑂䝁䅅杢潂䝁䄸䅢求䡁䅍䅌杁䝁䅉睢㑂䍁䅁睙ㅂ䝁䅷杤求䡁䅉䅤穂䍁䅷䅉㉂䝁䅅兤獂䡁䅑督杁䝁䅅杢歂䍁䅁睙桂䡁䅑睙潂䍁䅁杙桂䡁䅍兡畂䡁䅍䅌杁䡁䅁兤瑂䡁䅁䅉獂䝁䅫杚あ䍁䅁督あ䝁䅅䅤灂䝁䄸杢穂䍁䅷䅉療䝁䅫䅢杁䡁䅣兙あ䝁䅕杣杁䡁䅍党睂䝁䅅杣桂䡁䅑睢祂䡁䅍䅌杁䝁䅉兡療䝁䅙兡獂䡁䅑杣桂䡁䅑兡療䝁䄴䅉ㅂ䝁䄴兡あ䡁䅍䅌杁䡁䅍䅤求䝁䅕䅢杁䝁䅍兙穂䝁䅫杢湂䍁䅁䅣灂䡁䅁党穂䍁䅷䅉桂䝁䄴䅚杁䝁䅉兙祂䍁䄰睤祂䝁䅅䅣睂䝁䅕䅚杁䝁䅍睢畂䝁䅍杣求䡁䅑党杁䝁䅍入獂䝁䅫杢歂䝁䅕杣杁䡁䅁兡睂䝁䅕督獁䍁䅁兙穂䍁䅁睤求䝁䅷䅢杁䝁䅅督杁䡁䅁兡睂䝁䅕䅢灂䝁䄴党杁䡁䅍入穂䡁䅑党瑂䍁䅁条療䝁䅫杢あ䡁䅍䅌杁䝁䅙兡あ䡁䅑兡畂䝁䅣督獁䍁䅁督睂䝁䅕睙灂䝁䅅䅢灂䡁䅯党歂䍁䅁睙療䝁䄰䅣療䝁䄴党畂䡁䅑督獁䍁䅁兙畂䝁䅑䅉療䡁䅑䅡求䡁䅉䅉求䝁䄴杤灂䡁䅉睢畂䝁䄰党畂䡁䅑兙獂䍁䅁兙畂䝁䅑䅉求䝁䄴睚灂䝁䄴党求䡁䅉党歂䍁䅁督療䝁䅷兤あ䝁䅫睢畂䡁䅍杌杁䙁䅑䅡求䍁䅁睙療䝁䄰䅣桂䝁䄴入杁䡁䅍党獂䝁䅷督杁䝁䅫䅤穂䍁䅁睤桂䡁䅑党祂䍁䅁兡畂䝁䅙杣桂䡁䅍䅤祂䡁䅕睙あ䡁䅕杣求䍁䅁䅣祂䝁䄸䅚ㅂ䝁䅍䅤穂䍁䅁兤畂䝁䅑党祂䍁䅁䅕桂䡁䅉睡噂䙁䅍兑獁䍁䅁睒求䝁䄴党㉂䝁䅅䅉兂䝁䅫䅣求䍁䅁兙畂䝁䅑䅉兂䡁䅉党橂䝁䅅督あ䍁䅷䅉兂䝁䅕杣瑂䝁䅅䅢療䝁䅳䅌杁䝁䅅杢歂䍁䅁杔療䡁䅉䅤潂䡁䅣党穂䡁䅑䅉兂䝁䅫䅣求䍁䅁睑療䝁䄰䅣桂䝁䄴入杁䝁䅉杣桂䝁䄴䅚穂䍁䅁䅣祂䝁䅫兢桂䡁䅉兡獂䡁䅫䅉あ䝁䄸䅉灂䝁䄴督あ䝁䅅䅢獂䝁䅅䅤灂䝁䄸杢杁䝁䅍睢畂䡁䅑杣桂䝁䅍䅤療䡁䅉督畁䍁䅁杔療䡁䅉䅤潂䡁䅣党穂䡁䅑䅉兂䝁䅫䅣求䍁䅁睑療䝁䄰䅣桂䝁䄴入杁䡁䅣兙穂䍁䅁兡畂䝁䅍睢祂䡁䅁睢祂䝁䅅䅤求䝁䅑䅉灂䝁䄴䅉硁䑁䅫李㉁䍁䅁兙畂䝁䅑䅉灂䡁䅍䅉潂䝁䅕兙歂䡁䅅兤桂䡁䅉䅤求䡁䅉党歂䍁䅁兡畂䍁䅁杖桂䝁䄴睙療䡁䅕杤求䡁䅉䅌杁䙁䅣兙穂䝁䅧兡畂䝁䅣䅤療䝁䄴杌䅁䱁䅅䅁坁䅁䅁睔啂䕁䅍䅕䱂䑁䅯村呂䙁䅑睔䅁䍁䅍䅁慁䅁䅁睔啂䕁䅍䅕䱂䑁䅯村噂䙁䅉睑畁䕁䅅䅁祁䅁䅁杆䅁䙁䅍䅕時䙁䅉兒坂䙁䄸兒呂䙁䅑䅁呂䅁䅁杆䅁䕁䄸䅖䑂䙁䅁睓㙁䕁䅍兑兂䕁䅍䅁摁䅁䅁杆䅁䕁䄸䅖䑂䙁䅁睓㙁䕁䅧兔啂䕁䅍䅁䅂䅁䅁杆䅁䕁䄸䅖䑂䙁䅁睓㙁䙁䅅兒兂䕁䅍䅁䥁䅁䅁杆䅁䕁䄸䅖䑂䙁䅁睓㙁䙁䅑睓䵂䙁䅍䅁硁䅁䅁䅊䅁䕁䄸䅣あ䝁䅫睢畂䡁䅍杏杁䕁䅍兤祂䡁䅉児噂䙁䅍䅒䅁䥁䅳䅁㡁䅁䅁䅕祂䝁䅫兢療䡁䅉兡穂䍁䅁睕求䡁䅉杤灂䝁䅍党穂䍁䅁睑療䡁䅉䅣療䡁䅉兙あ䝁䅫睢畂䅁䅁睖䅁偁䙑䅁兂䡁䅉兡瑂䝁䄸杣灂䡁䅍䅉呂䝁䅕杣㉂䝁䅫睙求䡁䅍䅉䑂䝁䄸杣睂䝁䄸杣桂䡁䅑兡療䝁䄴䅉睂䡁䅉睢㉂䝁䅫䅚求䡁䅍䅉灂䝁䄴杚祂䝁䅅督あ䡁䅉兤橂䡁䅑兤祂䝁䅕䅉穂䝁䅕杣㉂䝁䅫睙求䡁䅍䅉睂䡁䅉兡瑂䝁䅅杣灂䝁䅷入杁䝁䅫杢杁䡁䅑䅡求䍁䅁兖畂䝁䅫䅤求䝁䅑䅉呂䡁䅑兙あ䝁䅕督杁䝁䅅杢歂䍁䅁睑桂䝁䄴兙歂䝁䅅杌杁䙁䅑䅡求䍁䅁睙療䝁䄰</t>
  </si>
  <si>
    <t>䅣桂䝁䄴入杁䝁䄸䅣求䡁䅉兙あ䝁䅕督杁䝁䅫杢杁䡁䅑睤療䍁䅁督求䝁䅣兢求䝁䄴䅤穂䍁䅷䅉噂䡁䅑兡獂䝁䅫䅤灂䝁䅕督杁䝁䅅杢歂䍁䅁兒畂䝁䅕杣湂䡁䅫杌杁䙁䅑䅡求䍁䅁兖あ䝁䅫䅢灂䡁䅑兡求䡁䅍䅉穂䝁䅕睚瑂䝁䅕杢あ䍁䅁睢浂䝁䅙党祂䡁䅍䅉灂䝁䄴督あ䝁䅅䅢獂䝁䅅䅤灂䝁䄸杢杁䝁䅅杢歂䍁䅁兢桂䝁䅫杢あ䝁䅕杢桂䝁䄴睙求䍁䅁睢浂䍁䅁杢求䡁䅣䅉桂䝁䄴䅚杁䝁䅕䅥灂䡁䅍䅤灂䝁䄴睚杁䝁䄴兙あ䡁䅕杣桂䝁䅷䅉湂䝁䅅督杁䝁䅅杢歂䍁䅁党獂䝁䅕睙あ䡁䅉兡橂䍁䅁兤あ䝁䅫䅢灂䡁䅑入杁䝁䅑兡穂䡁䅑杣灂䝁䅉兤あ䝁䅫睢畂䍁䅁兙畂䝁䅑䅉あ䡁䅉兙畂䡁䅍兢灂䡁䅍督灂䝁䄸杢杁䡁䅍入穂䡁䅑党瑂䡁䅍䅌杁䝁䅅杢歂䍁䅁睙療䝁䄰兢ㅂ䝁䄴兡橂䝁䅅䅤灂䝁䄸杢穂䍁䅁督㕂䡁䅍䅤求䝁䄰督畁䍁䅁䅖潂䝁䅕䅉䙂䝁䄴党祂䝁䅣入杁䡁䅍党湂䝁䄰党畂䡁䅑䅉睂䡁䅉睢㉂䝁䅫䅚求䡁䅍䅉求䝁䄴睚灂䝁䄴党求䡁䅉兡畂䝁䅣䅌杁䡁䅁杣療䝁䅍兤祂䝁䅕兢求䝁䄴䅤獁䍁䅁睙療䝁䄴督あ䡁䅉兤橂䡁䅑兡療䝁䄴䅌杁䝁䅅杢歂䍁䅁兢桂䝁䅫杢あ䝁䅕杢桂䝁䄴睙求䍁䅁督求䡁䅉杤灂䝁䅍党穂䍁䅁杚療䡁䅉䅉求䝁䄴䅤灂䡁䅑兡求䡁䅍䅉灂䝁䄴䅉あ䝁䅧党杁䝁䅕杢求䡁䅉睚㕂䍁䅷䅉祂䝁䅕杢求䡁䅣兙楂䝁䅷党杁䝁䅕杢求䡁䅉睚㕂䍁䅁兙畂䝁䅑䅉求䝁䄴党祂䝁䅣入杁䡁䅍䅤療䡁䅉兙湂䝁䅕䅌杁䡁䅉党畂䝁䅕睤桂䝁䅉䅢求䍁䅁杚ㅂ䝁䅕䅢穂䍁䅷䅉桂䝁䄴䅚杁䡁䅁党あ䡁䅉睢獂䝁䅕兤瑂䍁䅁兙畂䝁䅑䅉睂䝁䅕䅤祂䝁䄸睙潂䝁䅕兢灂䝁䅍兙獂䍁䅁兡畂䝁䅑兤穂䡁䅑杣灂䝁䅕督獁䍁䅁兙穂䍁䅁睤求䝁䅷䅢杁䝁䅅督杁䡁䅍䅤桂䡁䅑党杁䝁䅑党睂䝁䅅杣あ䝁䄰党畂䡁䅑督杁䝁䄸杚杁䡁䅑杣桂䝁䄴督睂䝁䄸杣あ䝁䅅䅤灂䝁䄸杢畁䍁䅁䅖潂䝁䅕䅉橂䝁䄸兢睂䝁䅅杢㕂䍁䅁兙獂䡁䅍睢杁䝁䄸杚浂䝁䅕杣穂䍁䅁杣求䡁䅁䅢桂䝁䅍党瑂䝁䅕杢あ䍁䅁兙畂䝁䅑䅉浂䝁䅅杙祂䝁䅫睙桂䡁䅑兡療䝁䄴䅉穂䝁䅕杣㉂䝁䅫睙求䡁䅍杌杁䙁䅁杣灂䝁䄰睢祂䝁䅫督杁䙁䅍党祂䡁䅙兡橂䝁䅕督杁䕁䅍睢祂䡁䅁睢祂䝁䅅䅤灂䝁䄸杢杁䡁䅣兙穂䍁䅁杚療䡁䅕杢歂䝁䅕䅚杁䝁䅫杢杁䑁䅅兏㉁䑁䅁䅉桂䝁䄴䅚杁䝁䅫督杁䝁䅧党桂䝁䅑兣ㅂ䝁䅅杣あ䝁䅕杣求䝁䅑䅉灂䝁䄴䅉䕂䝁䅅䅢獂䝁䅅督獁䍁䅁䅖求䡁䅧兙穂䍁䄴䅁桃允䅁杺䅧䙁䅁杣灂䝁䄰睢祂䝁䅫督杁䙁䅍党祂䡁䅙兡橂䝁䅕督杁䕁䅍睢祂䡁䅁睢祂䝁䅅䅤灂䝁䄸杢獁䍁䅁兙杁䡁䅍䅣求䝁䅍兡桂䝁䅷䅤㕂䍁䅁睙療䝁䄴䅤祂䝁䅅睙あ䝁䄸杣杁䝁䅍睢瑂䡁䅁兙畂䡁䅫䅌杁䡁䅁杣療䡁䅙兡歂䝁䅕督杁䝁䅅䅉祂䝁䅅杢湂䝁䅕䅉療䝁䅙䅉穂䡁䅁党橂䝁䅫兙獂䡁䅑入杁䝁䅍睢畂䡁䅍䅤祂䡁䅕睙あ䝁䅫睢畂䍁䅷䅉浂䝁䅅杙祂䝁䅫睙桂䡁䅑兡療䝁䄴䅌杁䝁䄰兙灂䝁䄴䅤求䝁䄴兙畂䝁䅍党獁䍁䅁杣求䡁䅁䅢桂䝁䅍党瑂䝁䅕杢あ䍁䅷䅉桂䝁䄴䅚杁䝁䅕杢湂䝁䅫杢求䝁䅕杣灂䝁䄴睚杁䡁䅍党祂䡁䅙兡橂䝁䅕督杁䝁䅫杢杁䡁䅑䅡求䍁䅁兖畂䝁䅫䅤求䝁䅑䅉呂䡁䅑兙あ䝁䅕督杁䝁䅅杢歂䍁䅁睑桂䝁䄴兙歂䝁䅅杌杁䙁䅑䅡求䍁䅁睙療䝁䄰䅣桂䝁䄴入杁䝁䄸䅣求䡁䅉兙あ䝁䅕督杁䡁䅑䅡祂䝁䄸兤湂䝁䅧䅉噂䡁䅑兡獂䝁䅫䅤灂䝁䅕督杁䝁䅅杢歂䍁䅁兒畂䝁䅕杣湂䡁䅫睌卂䝁䅕杢求䡁䅣兙楂䝁䅷党穂䍁䅁督求䝁䅣兢求䝁䄴䅤穂䍁䄴䅉啂䝁䅧党杁䙁䅕䅤灂䝁䅷兡あ䝁䅫党穂䍁䅁督求䝁䅣兢求䝁䄴䅤杁䝁䄸杚浂䝁䅕杣穂䍁䅁兡畂䡁䅍䅤桂䝁䅷䅢桂䡁䅑兡療䝁䄴䅉桂䝁䄴䅚杁䝁䄰兙灂䝁䄴䅤求䝁䄴兙畂䝁䅍党杁䡁䅍党祂䡁䅙兡橂䝁䅕督杁䝁䅙睢祂䍁䅁杢求䡁䅣䅉桂䝁䄴䅚杁䝁䅕䅥灂䡁䅍䅤灂䝁䄴睚杁䝁䄴兙あ䡁䅕杣桂䝁䅷䅉湂䝁䅅督杁䝁䅑兡穂䡁䅑杣灂䝁䅉兤あ䝁䅫睢畂䍁䅁督㕂䡁䅍䅤求䝁䄰督獁䍁䅁党獂䝁䅕睙あ䡁䅉兡橂䍁䅁兤あ䝁䅫䅢灂䡁䅑入杁䝁䅑兡穂䡁䅑杣灂䝁䅉兤あ䝁䅫睢畂䍁䅁兙畂䝁䅑䅉あ䡁䅉兙畂䡁䅍兢灂䡁䅍督灂䝁䄸杢杁䡁䅍入穂䡁䅑党瑂䡁䅍䅌杁䝁䅅杢歂䍁䅁睙療䝁䄰兢ㅂ䝁䄴兡橂䝁䅅䅤灂䝁䄸杢穂䍁䅁督㕂䡁䅍䅤求䝁䄰督畁䍁䅁䅖潂䝁䅕䅉䙂䝁䄴党祂䝁䅣入癁䙁䅉党畂䝁䅕睤桂䝁䅉䅢求䡁䅍䅉穂䝁䅕睚瑂䝁䅕杢あ䍁䅁䅣祂䝁䄸杤灂䝁䅑党穂䍁䅁兙杁䡁䅉兙畂䝁䅣党杁䝁䄸杚杁䡁䅍党祂䡁䅙兡橂䝁䅕督獁䍁䅁兡畂䝁䅍䅢ㅂ䝁䅑兡畂䝁䅣䅉求䝁䄴睚灂䝁䄴党求䡁䅉兡畂䝁䅣䅌杁䡁䅁杣療䝁䅍兤祂䝁䅕兢求䝁䄴䅤獁䍁䅁兙畂䝁䅑䅉橂䝁䄸杢穂䡁䅑杣ㅂ䝁䅍䅤灂䝁䄸杢獁䍁䅁兙穂䍁䅁睤求䝁䅷䅢杁䝁䅅督杁䡁䅉党あ䡁䅉睢浂䝁䅫䅤穂䍁䅷䅉潂䝁䅫睚潂䡁䅣兙㕂䍁䅁兙畂䝁䅑䅉楂䡁䅉兡歂䝁䅣党杁䝁䅍睢畂䡁䅍䅤祂䡁䅕睙あ䝁䅫睢畂䍁䅷䅉歂䝁䅕兢療䝁䅷兡あ䝁䅫睢畂䍁䅷䅉穂䝁䅫䅤求䍁䅁睤療䡁䅉睡獁䍁䅁督療䝁䅫䅢杁䡁䅍䅤桂䝁䅉兡獂䝁䅫来桂䡁䅑兡療䝁䄴䅌杁䝁䅕䅥橂䝁䅅杤桂䡁䅑兡療䝁䄴䅌杁䝁䅙䅢療䝁䄸䅚杁䝁䅍睢畂䡁䅑杣療䝁䅷䅌杁䡁䅕䅣湂䡁䅉兙歂䝁䅕督獁䍁䅁杣求䡁䅁兙灂䡁䅉督獁䍁䅁睢ㅂ䡁䅑兙湂䝁䅕督獁䍁䅁兙畂䝁䅑䅉瑂䝁䅅兡畂䡁䅑党畂䝁䅅杢橂䝁䅕䅉穂䝁䅕杣㉂䝁䅫睙求䡁䅍䅉あ䝁䄸䅉祂䝁䅕杢求䡁䅣兙楂䝁䅷党杁䝁䅕杢求䡁䅉睚㕂䍁䅁兙畂䝁䅑䅉求䝁䄴党祂䝁䅣入杁䡁䅍䅤療䡁䅉兙湂䝁䅕䅌杁䡁䅉党畂䝁䅕睤桂䝁䅉䅢求䍁䅁杚ㅂ䝁䅕䅢穂䍁䅷䅉睂䝁䅕䅤祂䝁䄸䅢求䡁䅕兢獁䍁䅁兙畂䝁䅑䅉睂䝁䅕䅤祂䝁䄸睙潂䝁䅕兢灂䝁䅍兙獂䍁䅁兡畂䝁䅑兤穂䡁䅑杣灂䝁䅕督獁䍁䅁兙穂䍁䅁睤求䝁䅷䅢杁䝁䅅督杁䡁䅍䅤桂䡁䅑党杁䝁䅑党睂䝁䅅杣あ䝁䄰党畂䡁䅑督杁䝁䄸杚杁䡁䅑杣桂䝁䄴督睂䝁䄸杣あ䝁䅅䅤灂䝁䄸杢畁䍁䅁兓あ䍁䅁兙獂䡁䅍睢杁䝁䄸杚浂䝁䅕杣穂䍁䅁䅣灂䡁䅁党獂䝁䅫杢求䍁䅁睙療䝁䄴督あ䡁䅉兤橂䡁䅑兡療䝁䄴䅉桂䝁䄴䅚杁䝁䄰兙灂䝁䄴䅤求䝁䄴兙畂䝁䅍党獁䍁䅁兙畂䝁䅑䅉穂䡁䅑睢祂䝁䅅睚求䍁䅁督求䡁䅉杤灂䝁䅍党穂䑁䅳䅉睂䝁䅫䅣求䝁䅷兡畂䝁䅕䅉浂䝁䅅睙灂䝁䅷兡あ䡁䅫䅌杁䝁䅅杢歂䍁䅁兡畂䡁䅑党湂䡁䅉兡あ䡁䅫䅉穂䝁䅕杣㉂䝁䅫睙求䡁䅍杌杁䙁䅁杣灂䝁䄰睢祂䝁䅫督杁䙁䅍党祂䡁䅙兡橂䝁䅕督杁䕁䅍睢祂䡁䅁睢祂䝁䅅䅤灂䝁䄸杢杁䡁䅣兙穂䍁䅁杚療䡁䅕杢歂䝁䅕䅚杁䝁䅫杢杁䑁䅅兏㉁䑁䅁䅉桂䝁䄴䅚杁䝁䅫督杁䝁䅧党桂䝁䅑兣ㅂ䝁䅅杣あ䝁䅕杣求䝁䅑䅉灂䝁䄴䅉䕂䝁䅅䅢獂䝁䅅督獁䍁䅁䅖求䡁䅧兙穂䍁䄴䅁奃䅁䅁朷䄸䙁䅅兤桂䝁䄴䅤桂䍁䅁睕求䡁䅉杤灂䝁䅍党穂䍁䅷䅉䩂䝁䄴睙畁䍁䅁䅣祂䝁䄸杤灂䝁䅑党穂䍁䅁兡畂䝁䅙杣桂䡁䅍䅤祂䡁䅕睙あ䡁䅕杣求䍁䅁督療䝁䅷兤あ䝁䅫睢畂䡁䅍䅉浂䝁䄸杣杁䡁䅑䅡求䍁䅁党獂䝁䅕睙あ䡁䅉兡橂䍁䅁兙畂䝁䅑䅉湂䝁䅅督杁䡁䅕䅤灂䝁䅷兡あ䡁䅫䅌杁䡁䅉党畂䝁䅕睤桂䝁䅉䅢求䍁䅁党畂䝁䅕杣湂䡁䅫䅌杁䝁䅍睢瑂䝁䄰兤畂䝁䅫睙桂䡁䅑兡療䝁䄴督獁䍁䅁兙畂䝁䅑䅉睂䝁䅫䅣求䝁䅷兡畂䝁䅕䅉桂䝁䄴䅚杁䝁䅕杢求䡁䅉睚㕂䍁䅁兡畂䝁䅑兤穂䡁䅑杣灂䝁䅕督杁䝁䅫杢杁䡁䅑䅡求䍁䅁兖畂䝁䅫䅤求䝁䅑䅉呂䡁䅑兙あ䝁䅕督獁䍁䅁睑桂䝁䄴兙歂䝁䅅䅌杁䕁䅅兤穂䡁䅑杣桂䝁䅷兡桂䍁䅷䅉桂䝁䄴䅚杁䝁䅫杢あ䝁䅕杣畂䝁䅅䅤灂䝁䄸杢桂䝁䅷䅢㕂䍁䄴䅉啂䝁䅧党杁䝁䅍睢瑂䡁䅁兙畂䡁䅫升穂䍁䅁兒獂䝁䅕睙あ䡁䅉兡橂䍁䅁䅕療䡁䅣党祂䍁䅁兓畂䝁䅙杣桂䡁䅍䅤祂䡁䅕睙あ䡁䅕杣求䍁䅁睕療䝁䅷兤あ䝁䅫睢畂䡁䅍䅉穂䝁䅕睚瑂䝁䅕杢あ䍁䅁党畂䝁䅣兙湂䝁䅕督杁䝁䅫杢杁䡁䅑䅡求䍁䅁䅚求䡁䅍兡湂䝁䄴䅌杁䡁䅁杣療䝁䅍兤祂䝁䅕兢求䝁䄴䅤獁䍁䅁睙療䝁䄴督あ䡁䅉兤橂䡁䅑兡療䝁䄴䅌杁䡁䅕䅣湂䡁䅉兙歂䝁䅕䅌杁䡁䅉党睂䝁䅅兡祂䍁䅷䅉桂䝁䄴䅚杁䝁䄰兙灂䝁䄴䅤求䝁䄴兙畂䝁䅍党杁䝁䄸杚杁䝁䅕䅢求䝁䅍䅤祂䝁䅫睙杁䡁䅁睢㍂䝁䅕杣杁䡁䅑杣桂䝁䄴督瑂䝁䅫督穂䝁䅫睢畂䍁䅁兙畂䝁䅑䅉歂䝁䅫督あ䡁䅉兡楂䡁䅕䅤灂䝁䄸杢杁䝁䅫杢浂䡁䅉兙穂䡁䅑杣ㅂ䝁䅍䅤ㅂ䡁䅉党杁䝁䅅杢歂䍁䅁督ㅂ䝁䅉督あ䝁䅅䅤灂䝁䄸杢杁䝁䅙兙橂䝁䅫䅢灂䡁䅑兡求䡁䅍睏杁䝁䅫杢穂䡁䅑兙獂䝁䅷兙あ䝁䅫睢畂䍁䅷䅉瑂䝁䅅兡畂䡁䅑党畂䝁䅅杢橂䝁䅕䅌杁䝁䅅杢歂䍁䅁兤睂䝁䅣杣桂䝁䅑党杁䝁䄸杚杁䝁䅕䅢求䝁䅍䅤祂䝁䅫睙杁䡁䅁睢㍂䝁䅕杣杁䝁䅫杢浂䡁䅉兙穂䡁䅑杣ㅂ䝁䅍䅤ㅂ䡁䅉党杁䡁䅁杣療䝁䅯党橂䡁䅑督㝁䍁䅁兡畂䡁䅍䅤桂䝁䅷䅢桂䡁䅑兡療䝁䄴䅉療䝁䅙䅉穂䝁䄰兙祂䡁䅑䅉湂䡁䅉兡歂䍁䅁䅤求䝁䅍䅡畂䝁䄸䅢療䝁䅣兡求䡁䅍䅉療䝁䄴䅉求䝁䅷党橂䡁䅑杣灂䝁䅍䅉睂䝁䄸睤求䡁䅉䅉畂䝁䅕䅤㍂䝁䄸杣牂䡁䅍睏杁䝁䅅杢歂䍁䅁䅚求䡁䅍兡湂䝁䄴䅌杁䝁䅫杢穂䡁䅑兙獂䝁䅷兙あ䝁䅫睢畂䍁䅷䅉瑂䝁䅅兡畂䡁䅑党畂䝁䅅杢橂䝁䅕䅌杁䝁䅅杢歂䍁䅁杣求䡁䅁兙灂䡁䅉䅉療䝁䅙䅉橂䝁䄸兢瑂䝁䅕杣橂䝁䅫兙獂䍁䅁兙畂䝁䅑䅉灂䝁䄴䅚ㅂ䡁䅍䅤祂䝁䅫兙獂䍁䅁睤灂䡁䅉兡畂䝁䅣督畁䍁䅁䅖潂䝁䅫督杁䡁䅍党湂䝁䄰党畂䡁䅑䅉桂䝁䅷督療䍁䅁睢浂䝁䅙党祂䡁䅍䅉桂䡁䅙兡桂䡁䅑兡療䝁䄴䅉穂䝁䅕杣㉂䝁䅫睙求䡁䅍睏杁䝁䅕兢求䡁䅉睚求䝁䄴睙㕂䍁䅁杣求䡁䅍䅤療䡁䅉兙あ䝁䅫睢畂䍁䅁督求䡁䅉杤灂䝁䅍党穂䑁䅳䅉桂䝁䄴䅚杁䝁䄸䅤潂䝁䅕杣杁䝁䅕杢湂䝁䅫杢求䝁䅕杣灂䝁䄴睚杁䝁䅅杢歂䍁䅁䅤求䝁䅍䅡畂䝁䅫睙桂䝁䅷䅉穂䝁䅕杣㉂䝁䅫睙求䡁䅍睏杁䝁䅑党穂䝁䅫睚畂䍁䅁兙畂䝁䅑䅉橂䝁䄸杢穂䡁䅑杣ㅂ䝁䅍䅤灂䝁䄸杢杁䡁䅍睢獂䡁䅕䅤灂䝁䄸杢穂䍁䅁䅤療䍁䅁睤灂䡁䅉党獂䝁䅫杢求䍁䅁兙畂䝁䅑䅉㍂䝁䅫杣求䝁䅷党穂䡁䅍䅉橂䝁䄸兢瑂䡁䅕杢灂䝁䅍兙あ䝁䅫睢畂䡁䅍䅌杁䝁䅍兙楂䝁䅷党杁䝁䄰兤獂䡁䅑兡瑁䡁䅍入穂䡁䅑党瑂䍁䅁睢睂䝁䅕杣桂䡁䅑睢祂䡁䅍䅌杁䝁䅅杢歂䍁䅁睢あ䝁䅧党祂䍁䅁睙ㅂ䡁䅍䅤療䝁䄰党祂䡁䅍睏杁䝁䅅杢歂䍁䅁䅤祂䝁䅅兡畂䝁䅫杢湂䍁䅁杚療䡁䅉䅉求䝁䅷党橂䡁䅑杣灂䝁䅍䅉㍂䝁䄸杣牂䝁䅕杣穂䍁䅷䅉桂䡁䅍䅉㍂䝁䅕䅢獂䍁䅁兙穂䍁䅁䅤祂䝁䅅兡畂䝁䅫杢湂䍁䅁杚療䡁䅉䅉あ䝁䅧党杁䝁䅣兙穂䍁䅁䅚灂䡁䅍䅤祂䝁䅫杙ㅂ䡁䅑兡療䝁䄴䅉桂䝁䄴䅚杁䝁䅍睢瑂䝁䄰兤畂䝁䅫睙桂䡁䅑兡療䝁䄴督杁䝁䅫杢歂䡁䅕督あ䡁䅉兡求䡁䅍杌杁䙁䅑䅡求䍁䅁睙療䝁䄰䅣桂䝁䄴入婁䡉䅍䅉卂䝁䅕杢求䡁䅣兙楂䝁䅷党杁䕁䅕杢求䡁䅉睚㕂䍁䅁兓畂䝁䅙杣桂䡁䅍䅤祂䡁䅕睙あ䡁䅕杣求䍁䅁睕療䝁䅷兤あ䝁䅫睢畂䡁䅍䅉穂䝁䅕睚瑂䝁䅕杢あ䍁䅁兡穂䍁䅁兡畂䡁䅙睢獂䡁䅙党歂䍁䅁兡畂䍁䅁党畂䝁䅣兡畂䝁䅕党祂䝁䅫杢湂䍁䅷䅉睂䡁䅉睢橂䡁䅕杣求䝁䄰党畂䡁䅑䅌杁䝁䅍睢畂䡁䅍䅤祂䡁䅕睙あ䝁䅫睢畂䍁䅷䅉祂䝁䅕䅣桂䝁䅫杣獁䍁䅁兙畂䝁䅑䅉瑂䝁䅅兡畂䡁䅑党畂䝁䅅杢橂䝁䅕䅉療䝁䅙䅉㍂䝁䅫杢歂䍁䅷䅉穂䝁䄸䅢桂䡁䅉䅌杁䝁䅅杢歂䍁䅁䅡㕂䝁䅑杣療䡁䅁睢㍂䝁䅕杣杁䝁䅣党畂䝁䅕杣桂䡁䅑兡療䝁䄴䅉浂䝁䅅睙灂䝁䅷兡あ䝁䅫党穂䍁䅷䅉桂䡁䅍䅉㍂䝁䅕䅢獂䍁䅁兙穂䍁䅁杙桂䡁䅑䅤求䡁䅉入杁䡁䅍䅤療䡁䅉兙湂䝁䅕䅉浂䝁䅅睙灂䝁䅷兡あ䝁䅫党穂䑁䅳䅉桂䝁䄴䅚杁䡁䅁杣療䡁䅙兡穂䝁䅫睢畂䍁䅁睢浂䍁䅁党畂䝁䅣兡畂䝁䅕党祂䝁䅫杢湂䍁䅁兙畂䝁䅑䅉橂䝁䄸杢穂䡁䅑杣ㅂ䝁䅍䅤灂䝁䄸杢杁䡁䅍党祂䡁䅙兡橂䝁䅕督杁䝁䅙睢祂䍁䅁督ㅂ䝁䅉督あ䝁䅅䅤灂䝁䄸杢穂䍁䅁兙畂䝁䅑䅉穂䡁䅣兡あ䝁䅍䅡㕂䝁䅅杣歂䡁䅍䅌杁䡁䅑杣桂䝁䄴督瑂䝁䅫督穂䝁䅫睢畂䍁䅷䅉桂䝁䄴䅚杁䝁䄸䅤潂䝁䅕杣杁䝁䅕䅢求䝁䅍䅤祂䝁䅫睙桂䝁䅷䅉灂䝁䄴杚祂䝁䅅督あ䡁䅉兤橂䡁䅑兤祂䝁䅕督畁䍁䅁䅖潂䝁䅕䅉橂䝁䄸兢睂䝁䅅杢㕂䉁杫督杁䙁䅕杢歂䝁䅕杣湂䡁䅉睢ㅂ䝁䄴䅚杁䙁䅕䅤灂䝁䅷兡あ䡁䅫䅉桂䝁䄴䅚杁䕁䅫杢浂䡁䅉兙穂䡁䅑杣ㅂ䝁䅍䅤ㅂ䡁䅉党杁䙁䅍睢獂䡁䅕䅤灂䝁䄸杢穂䍁䅁督求䝁䅣兢求䝁䄴䅤杁䝁䄸杚浂䝁䅕杣穂䍁䅁䅚求䡁䅍兡湂䝁䄴䅌杁䝁䅕杢湂䝁䅫杢求䝁䅕杣灂䝁䄴睚獁䍁䅁䅣祂䝁䄸睙ㅂ䡁䅉党瑂䝁䅕杢あ䍁䅷䅉橂䝁䄸杢穂䡁䅑杣ㅂ䝁䅍䅤灂䝁䄸杢獁䍁䅁兤睂䝁䅣杣桂䝁䅑党獁䍁䅁杣求䡁䅁兙灂䡁䅉䅌杁䝁䅅杢歂䍁䅁兢桂䝁䅫杢あ䝁䅕杢桂䝁䄴睙求䍁䅁督求䡁䅉杤灂䝁䅍党穂䍁䅁杚療䡁䅉䅉畂䝁䅅䅤ㅂ䡁䅉兙獂䍁䅁睚桂䡁䅍䅉穂䡁䅫督あ䝁䅕兢穂䍁䅁杚療䡁䅉䅉湂䝁䅅督杁䡁䅕䅤灂䝁䅷兡あ䡁䅫䅉橂䡁䅕督あ䝁䄸兢求䡁䅉督㝁䍁䅁杚桂䝁䅉杣灂䝁䅍兙あ䝁䅫睢畂䍁䅁督求䡁䅉杤灂䝁䅍党穂䍁䅁杚療䡁䅉䅉睂䝁䅫䅣求䝁䅷兡畂䝁䅕䅉穂䡁䅕䅣睂䝁䄸杣あ䍁䅁督㕂䡁䅍䅤求䝁䄰督杁䝁䅅杢歂䍁䅁督あ䡁䅉兤橂䡁䅑兤祂䝁䅕督杁䝁䅅杢歂䍁䅁杚桂䝁䅍兡獂䝁䅫䅤灂䝁䅕督㝁䍁䅁兙畂䝁䅑䅉求䝁䄴睚灂䝁䄴党求䡁䅉兡畂䝁䅣䅉桂䝁䄴䅚杁䝁䅍睢畂䡁䅍䅤祂䡁䅕睙あ䝁䅫睢畂䍁䅁督求䡁䅉杤灂䝁䅍党穂䍁䅁杚療䡁䅉䅉睂䝁䅫䅣求䝁䅷兡畂䝁䅕䅉桂䝁䄴䅚杁䡁䅍䅤療䡁䅉兙湂䝁䅕䅉穂䡁䅫督あ䝁䅕兢穂䍁䅷䅉桂䝁䄴䅚杁䝁䅍睢瑂䡁䅁杣求䡁䅍督療䡁䅉䅉桂䝁䄴䅚杁䡁䅁兤瑂䡁䅁䅉穂䡁䅑兙あ䝁䅫睢畂䡁䅍杌杁䙁䅑䅡求䍁䅁睙療䝁䄰䅣桂䝁䄴入杁䡁䅣兙穂䍁䅁杚療䡁䅉兢求䡁䅉䅢㕂䍁䅁睡畂䝁䄸睤畂䍁䅁兙穂䍁䅁杒桂䝁䅉兙獂䍁䅁睑療䝁䄴督あ䡁䅉兤橂䡁䅑兡療䝁䄴䅌杁䕁䅫杢橂䍁䄴䅉桂䝁䄴䅚杁䝁䅍䅡桂䝁䄴睚求䝁䅑䅉灂䡁䅑督杁䝁䄴兙瑂䝁䅕䅉あ䝁䄸䅉剂䡁䅕兙畂䡁䅑兙杁䙁䅍党祂䡁䅙兡橂䝁䅕督獁䍁䅁兓畂䝁䅍杌杁䝁䅫杢杁䕁䄴睢㉂䝁䅕兢楂䝁䅕杣杁䑁䅅兏㕁䑁䅣杌杁䙁䅑䅡求䍁䅁睙療䝁䄰䅣桂䝁䄴入杁䡁䅣兙穂䍁䅁兡畂䝁䅍睢祂䡁䅁睢祂䝁䅅䅤求䝁䅑䅉灂䝁䄴䅉硁䑁䅫兏㍁䍁䅁兙畂䝁䅑䅉灂䡁䅍䅉潂䝁䅕兙歂䡁䅅兤桂䡁䅉䅤求䡁䅉党歂䍁䅁兡畂䍁䅁䅓療䡁䅕督あ䝁䄸杢獁䍁䅁䅖求䡁䅧兙穂䍁䄴䅁啃䅁䅁䅌䅑䙁䅉兡橂䝁䅧兙祂䝁䅑督杁䙁䅁兙橂䝁䅳兙湂䝁䅫杢湂䍁䅁兓畂䝁䅍睢瑂䝁䅕䅉䝂䡁䅕杢歂䍁䅷䅉あ䝁䄸睚求䡁䅑䅡求䡁䅉䅉㍂䝁䅫䅤潂䍁䅁兡あ䡁䅍䅉穂䡁䅕杙穂䝁䅫䅚灂䝁䅅杣灂䝁䅕督獁䍁䅁䅚求䡁䅍兡湂䝁䄴督獁䍁䅁兢桂䝁䄴兤浂䝁䅅睙あ䡁䅕杣求䡁䅍䅌杁䝁䅅杢歂䍁䅁䅚灂䡁䅍䅤祂䝁䅫杙ㅂ䡁䅑党穂䍁䅁䅣桂䝁䅍睡桂䝁䅣兡畂䝁䅣䅉橂䝁䄸杢あ䝁䅅兡畂䝁䅕杣穂䍁䅁兙畂䝁䅑䅉潂䝁䅕兙獂䡁䅑䅡橂䝁䅅杣求䍁䅁督ㅂ䡁䅁䅣獂䝁䅫党穂䍁䅁兙畂䝁䅑䅉睂䡁䅉睢歂䡁䅕睙あ䡁䅍䅉灂䝁䄴䅉佂䝁䄸杣あ䝁䅧䅉䉂䝁䄰党祂䝁䅫睙桂䍁䄴䅉䩂䡁䅑䅉療䝁䅙杚求䡁䅉督杁䡁䅁兙睂䝁䅕杣獁䍁䅁睚獂䝁䅅督穂䍁䅷䅉瑂䝁䅕䅤桂䝁䅷䅌杁䝁䅅杢歂䍁䅁䅣獂䝁䅅督あ䝁䅫睙杁䝁䅍睢畂䡁䅑兙灂䝁䄴党祂䡁䅍䅉桂䝁䄴䅚杁䝁䅍䅢療䡁䅍兤祂䝁䅕督畁䍁䅁䅖潂䝁䅕䅉橂䝁䄸兢睂䝁䅅杢㕂䍁䅁兙獂䡁䅍睢杁䡁䅁杣療䡁䅙兡歂䝁䅕督杁䡁䅁兙橂䝁䅳兙湂䝁䅫杢湂䍁䅁䅚求䡁䅍兡湂䝁䄴䅉桂䝁䄴䅚杁䝁䅑党㉂䝁䅕䅢療䡁䅁兢求䝁䄴䅤獁䍁䅁督療䡁䅕杣橂䝁䅫杢湂䍁䅁睙桂䡁䅁兙楂䝁䅫䅢灂䡁䅑兡求䡁䅍䅌杁䝁䅅杢歂䍁䅁䅢療䝁䅣兡穂䡁䅑兡橂䡁䅍䅉瑂䝁䅅杢桂䝁䅣党瑂䝁䅕杢あ䍁䅁督求䡁䅉杤灂䝁䅍党穂䍁䄴䅉䩂䡁䅑䅉穂䝁䅕杣㉂䝁䅕督杁䝁䅙睢療䝁䅑䅉桂䝁䄴䅚杁䝁䅉党㉂䝁䅕杣桂䝁䅣党獁䍁䅁睙療䡁䅍兢求䡁䅑兡橂䡁䅍䅌杁䝁䅧党桂䝁䅷䅤潂䝁䅍兙祂䝁䅕䅌杁䝁䅫杢歂䡁䅕督あ䡁䅉兡桂䝁䅷䅌杁䝁䅅杢歂䍁䅁䅣潂䝁䅅杣瑂䝁䅅睙求䡁䅕䅤灂䝁䅍兙獂䍁䅁督求䝁䅍䅤療䡁䅉督畁䍁䅁䅖潂䝁䅕䅉橂䝁䄸兢睂䝁䅅杢㕂䍁䅁睤桂䡁䅍䅉浂䝁䄸兤畂䝁䅑党歂䍁䅁兡畂䍁䅁免㕁䑁䅅杍杁䝁䅅杢歂䍁䅁兡穂䍁䅁䅡求䝁䅅䅚硂䡁䅕兙祂䡁䅑党祂䝁䅕䅚杁䝁䅫杢杁䕁䄰兡穂䡁䅍兡穂䡁䅍兙ㅂ䝁䅣兙獁䍁䅁睑桂䝁䄴兙歂䝁䅅杌䅁偁䅙䅁䝂睂䅁杕ㅂ䡁䅍督求䝁䅷䅉乂䝁䅕䅤桂䝁䅷督杁䕁䅫杢橂䍁䄴䅉求䝁䄴睚桂䝁䅣党穂䍁䅁兡畂䍁䅁䅤潂䝁䅕䅉歂䝁䅫督あ䡁䅉兡楂䡁䅕䅤灂䝁䄸杢杁䝁䄸杚杁䡁䅍䅤求䝁䅕䅢杁䝁䅅杢歂䍁䅁睢あ䝁䅧党祂䍁䅁兢求䡁䅑兙獂䍁䅁䅣祂䝁䄸䅚ㅂ䝁䅍䅤穂䍁䅁兡畂䍁䅁睑桂䝁䄴兙歂䝁䅅䅉桂䝁䄴䅚杁䡁䅑䅡求䍁䅁兖畂䝁䅫䅤求䝁䅑䅉呂䡁䅑兙あ䝁䅕督畁䍁䅁兓あ䍁䅁睢睂䝁䅕杣桂䡁䅑党穂䍁䅁兡畂䍁䅁䅤潂䡁䅉党求䍁䅁督求䝁䅣兢求䝁䄴䅤穂䑁䅯䅉乂䝁䅕䅤桂䝁䅷督杁䙁䅍党祂䡁䅙兡橂䝁䅕䅉䑂䝁䅕杢あ䝁䅕杣穂䍁䅷䅉䙂䝁䄴党祂䝁䅣入杁䕁䅙兡求䝁䅷䅚杁䙁䅍䅤療䡁䅉党穂䍁䅷䅉桂䝁䄴䅚杁䙁䅍䅤求䝁䅕䅢杁䕁䅑兡穂䡁䅑杣灂䝁䅉兤あ䝁䅫睢畂䍁䄴䅉啂䝁䅧党杁䕁䄰党あ䝁䅅䅢杁䙁䅍党祂䡁䅙兡橂䝁䅕䅉䑂䝁䅕杢あ䝁䅕杣穂䍁䅁督求䝁䅣兢求䝁䄴䅤杁䝁䄸䅣求䡁䅉兙あ䝁䅕督杁䝁䅅䅉畂䝁䅕䅤㍂䝁䄸杣牂䍁䅁睢浂䍁䅁兢求䡁䅑兙獂䡁䅍䅉穂䝁䅕杣㉂䝁䅫睙求䍁䅁睙求䝁䄴䅤求䡁䅉督獁䍁䅁睤潂䝁䅫睙潂䍁䅁䅣祂䝁䄸杤灂䝁䅑党杁䝁䄰党あ䝁䅅䅢杁䡁䅁杣療䝁䅑兤橂䡁䅑督杁䝁䅫杢杁䡁䅙兙祂䝁䅫睢ㅂ䡁䅍䅉穂䝁䅫来求䡁䅍䅌杁䡁䅍䅡桂䡁䅁党穂䍁䅷䅉桂䝁䄴䅚杁䡁䅍䅣求䝁䅍兡浂䝁䅫睙桂䡁䅑兡療䝁䄴督獁䍁䅁兡畂䝁䅍䅢ㅂ䝁䅑兡畂䝁䅣䅉橂䝁䅅杣楂䝁䄸杢杁䝁䅧睢あ䍁䅁杣療䝁䅷䅢求䝁䅑䅉桂䝁䄴䅚杁䝁䅍睢獂䝁䅑䅉浂䝁䅫杢灂䡁䅍䅡求䝁䅑䅉穂䡁䅑党求䝁䅷䅌杁䡁䅁兡睂䝁䅕䅉桂䝁䄴䅚杁䡁䅑兤楂䡁䅕䅢桂䡁䅉䅌杁䡁䅍䅤桂䝁䅫杢獂䝁䅕督穂䍁䅁督あ䝁䅕党獂䍁䅷䅉桂䝁䅷兤瑂䝁䅫杢ㅂ䝁䄰䅌杁䝁䅅杢歂䍁䅁睢あ䝁䅧党祂䍁䅁杢療䝁䄴兌浂䝁䅕杣祂䝁䄸兤穂䍁䅁督睂䝁䅕睙灂䝁䅅䅢あ䡁䅫䅉瑂䝁䅕䅤桂䝁䅷䅉睂䡁䅉睢歂䡁䅕睙あ䡁䅍杌杁䙁䅑䅡求䍁䅁兒畂䝁䅕杣湂䡁䅫䅉䝂䝁䅫党獂䝁䅑䅉呂䡁䅑睢祂䝁䅕督杁䡁䅍党湂䝁䄰党畂䡁䅑䅉療䝁䅙杚求䡁䅉督杁䡁䅍䅣求䝁䅍兡桂䝁䅷兡㙂䝁䅕䅚杁䡁䅁杣療䝁䅑兤橂䡁䅑督獁䍁䅁督ㅂ䝁䅍䅡杁䝁䅅督杁䝁䅙䅢桂䝁䄴睚求䡁䅍䅌杁䡁䅙兙獂䡁䅙党穂䍁䅷䅉浂䝁䅫䅤あ䝁䅫杢湂䡁䅍䅌杁䝁䅅杢歂䍁䅁睢あ䝁䅧党祂䍁䅁䅣祂䝁䄸䅚ㅂ䝁䅍䅤穂䍁䅁䅤療䍁䅁党畂䝁䅕杣湂䡁䅫䅉灂䝁䄴䅚ㅂ䡁䅍䅤祂䡁䅫杌杁䙁䅑䅡求䍁䅁睕あ䝁䅕党獂䍁䅁䅒灂䡁䅍䅤祂䝁䅫杙ㅂ䡁䅑睢祂䡁䅍䅉穂䝁䅕睚瑂䝁䅕杢あ䍁䅁督求䝁䅷䅢穂䍁䅁督あ䝁䅕党獂䍁䅁䅣祂䝁䄸䅚ㅂ䝁䅍䅤穂䍁䅁睙療䝁䄰䅣祂䝁䅫督灂䝁䄴睚杁䝁䅍兙祂䝁䅉睢畂䍁䅁督あ䝁䅕党獂䍁䅁䅣獂䝁䅅䅤求䍁䅷䅉浂䝁䅷兙あ䍁䅁杣療䝁䅷䅢求䝁䅑䅉睂䡁䅉睢歂䡁䅕睙あ䡁䅍䅌杁䝁䅉党桂䝁䄰督獁䍁䅁睙潂䝁䅅杢畂䝁䅕䅢穂䍁䅷䅉桂䝁䄴䅚杁䡁䅁兡睂䝁䅕督杁䡁䅑睢杁䝁䄸䅤潂䝁䅕杣杁䡁䅍䅤求䝁䅕䅢杁䡁䅍党祂䡁䅙兡橂䝁䅕䅉橂䝁䅕杢あ䝁䅕杣穂䍁䅁兙畂䝁䅑䅉求䡁䅅兤灂䡁䅁兢求䝁䄴䅤杁䝁䄰兙畂䡁䅕杚桂䝁䅍䅤ㅂ䡁䅉党祂䡁䅍杌杁䙁䅉兤穂䡁䅍党獂䍁䅁兔求䡁䅑兙獂䡁䅍䅉䩂䝁䄴睙畁䍁䅁睤桂䡁䅍䅉灂䝁䄴睙療䡁䅉䅣療䡁䅉兙あ䝁䅕䅚杁䝁䅫杢杁䑁䅅兏祁䑁䅫䅉桂䝁䄴䅚杁䝁䅫督杁䝁䅧党桂䝁䅑兣ㅂ䝁䅅杣あ䝁䅕杣求䝁䅑䅉灂䝁䄴䅉乂䝁䅫督穂䝁䅫督穂䝁䅅兤湂䝁䅅䅌杁䕁䅍兙畂䝁䅅䅚桂䍁䄴䅁慃允䅁䅍䅁䙁䅍䅕時䕁䅉兖呂䕁䅫杔䙂䙁䅍睕時䕁䅑兒呂䕁䅍杕䩂䙁䅁䅖䩂䕁䄸杔䅁䥁䅷䅁允䅁䅁䅖呂䙁䅧杏䍂䙁䅕兓䅁䉁䉑䅁杁䅁䅁睕兂䙁䄸睑偂䕁䄰䅕䉂䕁䄴兗時䕁䄴兑乂䕁䅕䅁乂䅁䅁䅋䅁䙁䅍兙㉂䝁䅅杣灂䝁䅅䅉䑂䝁䄸杣睂䝁䄸杣桂䡁䅑兡療䝁䄴䅁䉁允䅁朳䅣䙁䅍兙㉂䝁䅅杣灂䝁䅅䅉䑂䝁䄸杣睂䝁䄸杣桂䡁䅑兡療䝁䄴䅉睂䡁䅉睢㉂䝁䅫䅚求䡁䅍䅉桂䝁䅍睙求䡁䅍督灂䝁䅉兡獂䝁䅫䅤㕂䍁䅁督療䝁䅷兤あ䝁䅫睢畂䡁䅍䅉浂䝁䄸杣杁䡁䅑䅡求䍁䅁党獂䝁䅑党祂䝁䅷入杁䝁䅅杢歂䍁䅁䅣潂䡁䅫督灂䝁䅍兙獂䝁䅷入杁䝁䅍䅡桂䝁䅷䅢求䝁䄴睚求䝁䅑䅉睂䝁䅕睢睂䝁䅷党杁䝁䅫杢杁䕁䅍兙畂䝁䅅䅚桂䍁䅷䅉あ䝁䅧党杁䙁䅕杢灂䡁䅑党歂䍁䅁睕あ䝁䅅䅤求䡁䅍䅌杁䕁䅕兤祂䝁䄸䅣求䍁䅷䅉桂䝁䄴䅚杁䝁䅫杢あ䝁䅕杣畂䝁䅅䅤灂䝁䄸杢桂䝁䅷䅢㕂䍁䄴䅉啂䝁䅧党杁䝁䅍睢瑂䡁䅁兙畂䡁䅫䅉療䡁䅁党祂䝁䅅䅤求䡁䅍䅉灂䝁䄴䅉あ䡁䅣睢杁䡁䅍党湂䝁䄰党畂䡁䅑督獁䍁䅁兑橂䝁䅍党穂䡁䅍兡楂䝁䅫䅢灂䡁䅑入杁䝁䅅杢歂䍁䅁䅕桂䡁䅑兡求䝁䄴䅤杁䕁䅍兙祂䝁䅕杌杁䙁䅑䅡求䍁䅁兑橂䝁䅍党穂䡁䅍兡楂䝁䅫䅢灂䡁䅑入杁䡁䅍党湂䝁䄰党畂䡁䅑䅉歂䝁䅕督灂䝁䅣杢穂䍁䅷䅉瑂䝁䅅杢ㅂ䝁䅙兙橂䡁䅑兤祂䝁䅕督獁䍁䅁䅚灂䡁䅍䅤祂䝁䅫杙ㅂ䡁䅑党穂䍁䅷䅉桂䝁䄴䅚杁䝁䅫杢穂䡁䅑兙獂䝁䅷督杁䝁䅅䅉睂䝁䄸杣あ䝁䅙睢獂䝁䅫睢杁䝁䄸杚杁䝁䅅睙橂䝁䅕督穂䝁䅫杙灂䝁䅷兡あ䡁䅫䅉睂䡁䅉睢歂䡁䅕睙あ䡁䅍䅌杁䝁䅫杢橂䝁䅷兤歂䝁䅫杢湂䍁䅁睙療䝁䄰兢求䡁䅉睙灂䝁䅅䅢杁䝁䅅杢歂䍁䅁䅡療䝁䄰党杁䝁䅕䅢求䡁䅙兙あ䝁䄸杣穂䍁䅷䅉穂䡁䅑兙灂䡁䅉䅢灂䝁䅙䅤穂䍁䅷䅉睂䝁䅷兙あ䝁䅙睢祂䝁䄰䅉獂䝁䅫杚あ䡁䅍䅌杁䝁䅅杢歂䍁䅁睤潂䝁䅕党獂䝁䅍䅡桂䝁䅫杣杁䝁䅷睢㍂䝁䅕杣求䝁䅑兌浂䝁䅷睢療䡁䅉䅉桂䝁䅍睙求䡁䅍督灂䝁䅉䅢求䍁䅁睙療䝁䄴杤求䡁䅉督灂䝁䄸杢穂䍁䅁杚療䡁䅉䅉穂䝁䅕䅢求䝁䅍䅤求䝁䅑䅉楂䡁䅉兙畂䝁䅑督杁䝁䄸杚杁䝁䄰兡畂䝁䅫杤桂䝁䄴督獁䍁䅁䅣求䡁䅉督療䝁䄴兙獂䍁䅷䅉祂䝁䅕督灂䝁䅑党畂䡁䅑兡桂䝁䅷䅌杁䝁䄸杣杁䝁䅍睢瑂䝁䄰党祂䝁䅍兡桂䝁䅷䅉桂䡁䅁䅣獂䝁䅫睙桂䡁䅑兡療䝁䄴督畁䍁䅁䅖潂䝁䅕䅉兂䝁䅅䅤灂䝁䅕杢あ䍁䅁睑桂䡁䅉党杁䡁䅍党湂䝁䄰党畂䡁䅑䅉歂䝁䅕督灂䝁䅣杢穂䍁䅷䅉瑂䝁䅅杢ㅂ䝁䅙兙橂䡁䅑兤祂䝁䅕督獁䍁䅁䅚灂䡁䅍䅤祂䝁䅫杙ㅂ䡁䅑党穂䍁䅷䅉桂䝁䄴䅚杁䝁䅫杢穂䡁䅑兙獂䝁䅷督杁䝁䅍党灂䝁䅷兡畂䝁䅣䅉獂䝁䅫杚あ䡁䅍䅌杁䡁䅁兙あ䝁䅫党畂䡁䅑䅉あ䡁䅉兙畂䡁䅍杚求䡁䅉䅉穂䝁䅷兡畂䝁䅣督杁䝁䅅杢歂䍁䅁兙橂䝁䅍党穂䡁䅍睢祂䝁䅫党穂䍁䅷䅉浂䝁䅷睢療䡁䅉䅉獂䝁䅫杚あ䡁䅍䅌杁䡁䅍䅤桂䝁䄴䅚灂䝁䄴睚杁䝁䅅兡歂䡁䅍䅌杁䝁䅉兙あ䝁䅧兡畂䝁䅣䅉求䡁䅅兤灂䡁䅁兢求䝁䄴䅤獁䍁䅁兢求䝁䅑兡橂䝁䅅䅢杁䝁䅉党歂䡁䅍䅌杁䡁䅑䅡求䡁䅉兙睂䝁䅕兤あ䝁䅫睙杁䡁䅍兤睂䡁䅁睢祂䡁䅑䅉穂䡁䅕杣浂䝁䅅睙求䡁䅍䅌杁䝁䅅杢歂䍁䅁䅣祂䝁䅕督穂䡁䅕杣求䍁䅁兢桂䝁䄴兙湂䝁䅕兢求䝁䄴䅤杁䡁䅁杣療䝁䅑兤橂䡁䅑督杁䡁䅕督求䝁䅑䅉灂䝁䄴䅉潂䝁䅕兙獂䡁䅑䅡橂䝁䅅杣求䍁䅁杚桂䝁䅍兡獂䝁䅫䅤灂䝁䅕督杁䝁䅅杢歂䍁䅁䅡療䝁䄰党杁䝁䅍兙祂䝁䅕䅉穂䝁䅕䅤あ䝁䅫杢湂䡁䅍杌杁䕁䅫䅤杁䡁䅍党獂䝁䅷督杁䝁䅫䅤穂䍁䅁䅣祂䝁䄸䅚ㅂ䝁䅍䅤穂䍁䅁䅤潂䡁䅉睢ㅂ䝁䅣䅡杁䝁䅑党桂䝁䅷党祂䡁䅍䅉療䡁䅉䅉歂䝁䅫杣求䝁䅍䅤杁䡁䅍䅤療䡁䅉党穂䍁䅁䅤療䍁䅁党畂䝁䅑兌ㅂ䡁䅍党祂䍁䅁睙ㅂ䡁䅍䅤療䝁䄰党祂䡁䅍杌杁䙁䅑䅡求䍁䅁睙療䝁䄰䅣桂䝁䄴入杁䡁䅣兙穂䍁䅁杚療䡁䅕杢歂䝁䅕䅚杁䝁䅫杢杁䑁䅅兏㍁䑁䅫䅉桂䝁䄴䅚杁䝁䅫督杁䝁䅧党桂䝁䅑兣ㅂ䝁䅅杣あ䝁䅕杣求䝁䅑䅉灂䝁䄴䅉䵂䝁䅅杤桂䝁䅷䅌杁䕁䅍兙畂䝁䅅䅚桂䍁䄴䅁⭄䅁䅁杇䅁䙁䅍䅤桂䝁䄴䅤求䝁䅍䅉䩂䝁䄴睙畁䅁䅁䅢䅁䩁佧䅁呂䡁䅑兙畂䡁䅑党橂䍁䅁兓畂䝁䅍杌杁䡁䅁杣療䡁䅙兡歂䝁䅕督杁䡁䅁杣療䝁䅙党穂䡁䅍兡療䝁䄴兙獂䍁䅁督求䡁䅉杤灂䝁䅍党穂䍁䅁兡畂䍁䅁䅤潂䝁䅕䅉桂䡁䅉党桂䡁䅍䅉療䝁䅙䅉灂䝁䄴杚祂䝁䅅督あ䡁䅉兤橂䡁䅑兤祂䝁䅕䅉桂䝁䄴䅚杁䝁䅙兙橂䝁䅫䅢灂䡁䅑兡求䡁䅍䅉あ䝁䄸䅉あ䝁䅧党杁䡁䅁兤楂䝁䅷兡橂䍁䅁兙畂䝁䅑䅉睂䡁䅉兡㉂䝁䅅䅤求䍁䅁督求䝁䅍䅤療䡁䅉督杁䝁䅫杢杁䕁䅍兙畂䝁䅅䅚桂䍁䅷䅉あ䝁䅧党杁䙁䅕杢灂䡁䅑党歂䍁䅁睕あ䝁䅅䅤求䡁䅍䅌杁䝁䅅杢歂䍁䅁兡畂䡁䅑党祂䝁䄴兙あ䝁䅫睢畂䝁䅅䅢獂䡁䅫杌杁䕁䅫䅤杁䝁䄸杚浂䝁䅕杣穂䍁䅁党㉂䝁䅅䅢ㅂ䝁䅅䅤灂䝁䄸杢獁䍁䅁䅣獂䝁䅅杢畂䝁䅫杢湂䍁䅷䅉桂䝁䄴䅚杁䝁䅑党穂䝁䅫睚畂䝁䅫杢湂䍁䅁兡畂䝁䅙杣桂䡁䅍䅤祂䡁䅕睙あ䡁䅕杣求䍁䅁督療䝁䅷兤あ䝁䅫睢畂䡁䅍睏杁䡁䅍睢獂䡁䅕䅤灂䝁䄸杢穂䍁䅁杚療䡁䅉䅉穂䡁䅕督あ䝁䅅兡畂䝁䅅杙獂䝁䅕䅉㍂䝁䅅䅤求䡁䅉䅉祂䝁䅕督療䡁䅕杣橂䝁䅕督獁䍁䅁䅣獂䝁䅅杢畂䝁䅫杢湂䍁䅷䅉瑂䝁䅅杢桂䝁䅣党瑂䝁䅕杢あ䍁䅷䅉桂䝁䄴䅚杁䝁䅫杢浂䡁䅉兙穂䡁䅑杣ㅂ䝁䅍䅤ㅂ䡁䅉党㝁䍁䅁党畂䡁䅙兡祂䝁䄸杢瑂䝁䅕杢あ䝁䅅䅢杁䡁䅍党祂䡁䅙兡橂䝁䅕督㝁䍁䅁兡畂䡁䅑党湂䡁䅉兙あ䝁䅕䅚杁䝁䅅杣橂䝁䅧兡あ䝁䅕睙あ䡁䅕杣求䍁䅷䅉求䝁䄴睚灂䝁䄴党求䡁䅉兡畂䝁䅣䅌杁䝁䅫杢あ䝁䅕杣灂䝁䄸杣杁䝁䅑党穂䝁䅫睚畂䍁䅷䅉桂䝁䄴䅚杁䡁䅁䅢桂䝁䄴杢灂䝁䄴睚杁䡁䅍睢獂䡁䅕䅤灂䝁䄸杢穂䍁䅁杚療䡁䅉䅉楂䡁䅕兡獂䝁䅑兡畂䝁䅣督㝁䍁䅁兙畂䝁䅑䅉求䝁䄴党祂䝁䅣入杁䝁䅅杢歂䍁䅁杣求䡁䅍睢ㅂ䡁䅉睙求䡁䅍䅉穂䝁䄸䅢ㅂ䡁䅑兡療䝁䄴督畁䍁䅁䅖潂䝁䅕䅉橂䝁䄸兢睂䝁䅅杢㕂䍁䅁兙獂䡁䅍睢杁䡁䅁杣療䡁䅙兡歂䝁䅕督杁䝁䅍睢畂䡁䅍兤獂䡁䅑兡畂䝁䅣䅉穂䝁䅕杣㉂䝁䅫睙求䡁䅍䅉灂䝁䄴䅉求䝁䄴睚灂䝁䄴党求䡁䅉兡畂䝁䅣䅌杁䝁䅅杣橂䝁䅧兡あ䝁䅕睙あ䡁䅕杣求䍁䅷䅉灂䝁䄴䅤求䡁䅉兡療䡁䅉䅉歂䝁䅕督灂䝁䅣杢獁䍁䅁䅢桂䝁䄴䅚穂䝁䅍兙睂䝁䅕䅉桂䡁䅉睙潂䝁䅫䅤求䝁䅍䅤ㅂ䡁䅉党獁䍁䅁督ㅂ䡁䅉杤求䡁䅫兡畂䝁䅣䅌杁䝁䅕杢㉂䝁䅫杣療䝁䄴兢求䝁䄴䅤桂䝁䅷䅉穂䝁䅍兡求䝁䄴睙求䡁䅍䅌杁䡁䅁杣療䝁䅯党橂䡁䅑䅉瑂䝁䅅杢桂䝁䅣党瑂䝁䅕杢あ䍁䅷䅉桂䝁䄴䅚杁䡁䅁杣療䝁䅯党橂䡁䅑䅉求䝁䅍睢畂䝁䄸兢灂䝁䅍督畁䍁䅁兓畂䍁䅁兙歂䝁䅑兡あ䝁䅫睢畂䍁䅷䅉灂䡁䅑䅉療䝁䅙杚求䡁䅉督杁䡁䅁䅢桂䝁䄴杢灂䝁䄴睚杁䝁䅅杢歂䍁䅁䅚求䡁䅍兡湂䝁䄴䅉穂䝁䅕杣㉂䝁䅫睙求䡁䅍䅉あ䝁䄸䅉橂䝁䅷兡求䝁䄴䅤穂䍁䅁兡畂䍁䅁杣求䡁䅍兡歂䝁䅕杢あ䝁䅫兙獂䍁䅷䅉獂䝁䄸睚灂䡁䅍䅤灂䝁䅍督獁䍁䅁杣求䡁䅑兙灂䝁䅷䅌杁䝁䅫杢浂䡁䅉兙穂䡁䅑杣ㅂ䝁䅍䅤ㅂ䡁䅉党獁䍁䅁党畂䝁䅕杣湂䡁䅫䅌杁䝁䅧兡湂䝁䅧党祂䍁䅁党歂䡁䅕睙桂䡁䅑兡療䝁䄴䅌杁䝁䅅杢歂䍁䅁兤祂䝁䅉兙畂䍁䅁杣求䝁䅣党畂䝁䅕杣桂䡁䅑兡療䝁䄴䅉穂䝁䅕睙あ䝁䄸杣穂䑁䅳䅉桂䡁䅉睙潂䝁䅫䅤求䝁䅍䅤ㅂ䡁䅉兙獂䍁䅁兙畂䝁䅑䅉灂䝁䄴䅤求䡁䅉兡療䡁䅉䅉歂䝁䅕督灂䝁䅣杢獁䍁䅁兙畂䝁䅑䅉睂䝁䅷兙畂䝁䄴兡畂䝁䅣䅉穂䝁䅕杣㉂䝁䅫睙求䡁䅍䅉灂䝁䄴䅉あ䝁䅧党杁䡁䅍睙灂䝁䅕杢橂䝁䅕䅉桂䝁䄴䅚杁䡁䅑党橂䝁䅧杢療䝁䅷睢湂䡁䅫䅌杁䝁䅍睢瑂䝁䄰党祂䝁䅍兡桂䝁䅷䅉㍂䝁䄸杣牂䡁䅁䅢桂䝁䅍党獁䍁䅁䅡灂䝁䅣䅡求䡁䅉䅉求䝁䅑兤橂䝁䅅䅤灂䝁䄸杢獁䍁䅁杣求䡁䅍兡歂䝁䅕杢あ䝁䅫兙獂䍁䅷䅉桂䝁䄴䅚杁䝁䅧睢穂䡁䅁兡あ䝁䅅䅢灂䡁䅑入杁䝁䄰兙祂䝁䅳党あ䡁䅍杌杁䕁䅙兤祂䡁䅑䅡求䡁䅉䅌杁䡁䅑䅡求䍁䅁睙療䝁䄰䅣桂䝁䄴入杁䡁䅁杣療䡁䅙兡歂䝁䅕督杁䡁䅑杣桂䝁䄴督睂䝁䄸杣あ䝁䅅䅤灂䝁䄸杢杁䝁䅅䅚㉂䝁䅫督療䡁䅉入獁䍁䅁䅤祂䝁䅅杢穂䡁䅁睢祂䡁䅑䅉求䝁䄴睚灂䝁䄴党求䡁䅉兡畂䝁䅣䅌杁䝁䅅杢歂䍁䅁䅤求䝁䅍䅡畂䝁䅫睙桂䝁䅷䅉歂䝁䅕督灂䝁䅣杢㝁䍁䅁䅣祂䝁䄸条求䝁䅍䅤杁䝁䅑党獂䝁䅫杤求䡁䅉入杁䝁䅍睢畂䡁䅍兤獂䡁䅑兙畂䝁䅍入杁䡁䅍党祂䡁䅙兡橂䝁䅕督杁䝁䅙睢祂䍁䅁兢灂䝁䄴兡畂䝁䅣䅌杁䡁䅉党穂䝁䄸兤祂䝁䅍党穂䍁䅷䅉桂䝁䄴䅚杁䝁䅫杢歂䡁䅕督あ䡁䅉兡桂䝁䅷䅉灂䝁䄴杚祂䝁䅅督あ䡁䅉兤橂䡁䅑兤祂䝁䅕䅉睂䡁䅉睢煂䝁䅕睙あ䡁䅍睏杁䡁䅁兙獂䝁䅕睢畂䡁䅑睢獂䝁䄸睚灂䝁䅍兙獂䍁䅁兙畂䝁䅑䅉桂䡁䅉睙潂䝁䅅党療䝁䅷睢湂䝁䅫睙桂䝁䅷䅉穂䝁䅕杣㉂䝁䅫睙求䡁䅍䅉浂䝁䄸杣杁䡁䅑䅡求䍁䅁杣桂䝁䅫䅢獁䍁䅁䅤祂䝁䅅杢穂䡁䅁睢祂䡁䅑兙あ䝁䅫睢畂䍁䅷䅉㍂䝁䅅䅤求䡁䅉䅌杁䝁䅅杢歂䍁䅁䅣療䡁䅣党祂䍁䅁兙畂䝁䅑䅉求䝁䄴党祂䝁䅣入杁䡁䅍党橂䡁䅑睢祂䡁䅍睏杁䝁䅅杢歂䍁䅁党畂䡁䅙兡祂䝁䄸杢瑂䝁䅕杢あ䝁䅅䅢杁䝁䅅杢歂䍁䅁睙ㅂ䝁䅷䅤ㅂ䡁䅉兙獂䍁䅁杣求䡁䅍睢ㅂ䡁䅉睙求䍁䅁睙療䝁䄰䅣獂䝁䅫兙畂䝁䅍党杁䡁䅍党祂䡁䅙兡橂䝁䅕督畁䍁䅁兑歂䝁䅑兡あ䝁䅫睢畂䝁䅅䅢獂䡁䅫䅌杁䝁䅫䅤杁䝁䄸杚浂䝁䅕杣穂䍁䅁睙療䝁䄴督ㅂ䝁䅷䅤灂䝁䄴睚杁䡁䅍党祂䡁䅙兡橂䝁䅕督杁䝁䅫杢杁䡁䅍兤穂䡁䅑兙灂䝁䄴兙楂䝁䅷党杁䝁䅉兤灂䝁䅷䅚灂䝁䄴睚杁䝁䅑党穂䝁䅫睚畂䍁䅷䅉求䝁䄴党祂䝁䅣入杁䝁䅫杢浂䡁䅉兙穂䡁䅑杣ㅂ䝁䅍䅤ㅂ䡁䅉党杁䡁䅕䅣湂䡁䅉兙歂䝁䅕督獁䍁䅁督ㅂ䡁䅍䅤桂䝁䅫杢桂䝁䅉䅢求䍁䅁䅚灂䡁䅍䅤祂䝁䅫睙あ䍁䅁䅡求䝁䅅䅤灂䝁䄴睚杁䝁䄴党あ䡁䅣睢祂䝁䅳䅌杁䝁䅅杢歂䍁䅁党瑁䝁䄰睢楂䝁䅫䅢灂䡁䅑入㝁䍁䅁兙畂䝁䅑䅉睂䝁䅷兙畂䝁䄴兡畂䝁䅣䅌杁䝁䅑党穂䝁䅫睚畂䍁䅷䅉橂䝁䄸杢穂䡁䅑杣ㅂ䝁䅍䅤灂䝁䄸杢杁䝁䅅䅚瑂䝁䅫杢灂䡁䅍䅤祂䝁䅅䅤灂䝁䄸杢獁䍁䅁睙療䝁䄰兢灂䡁䅍督灂䝁䄸杢灂䝁䄴睚獁䍁䅁兢桂䝁䅫杢あ䝁䅕杢桂䝁䄴睙求䍁䅷䅉歂䝁䅕睙療䝁䄰兢灂䡁䅍督灂䝁䄸杢灂䝁䄴睚獁䍁䅁兙畂䝁䅑䅉祂䝁䅕兢求䝁䅑兡桂䡁䅑兡療䝁䄴䅉穂䝁䅕杣㉂䝁䅫睙求䡁䅍杌杁䙁䅑䅡求䍁䅁睙療䝁䄰䅣桂䝁䄴入杁䡁䅣兙穂䍁䅁杚療䡁䅉兢求䡁䅉䅢㕂䍁䅁睡畂䝁䄸睤畂䍁䅁兙穂䍁䅁睕あ䝁䅅杢獂䝁䅕入杁䙁䅑党橂䝁䅧杢療䝁䅷睢湂䡁䅫䅉䡂䡁䅉睢ㅂ䡁䅁䅉䩂䝁䄴睙畁䍁䅁兙畂䝁䅑䅉橂䝁䅧兙畂䝁䅣党歂䍁䅁兡あ䡁䅍䅉畂䝁䅅兢求䍁䅁䅤療䍁䅁睕あ䝁䅅杢あ䝁䅕睙杁䕁䅫杢橂䍁䄴䅉灂䝁䄴䅉偂䝁䅍䅤療䝁䅉党祂䍁䅁免㕁䑁䅫䅏畁䍁䅁睕あ䝁䅅杢あ䝁䅕睙杁䕁䅫杢橂䍁䄴䅉㍂䝁䅅督杁䝁䅙睢ㅂ䝁䄴䅚求䝁䅑䅉灂䝁䄴䅉硁䑁䅫兎ぁ䍁䅁兙畂䝁䅑䅉灂䡁䅍䅉潂䝁䅕兙歂䡁䅅兤桂䡁䅉䅤求䡁䅉党歂䍁䅁兡畂䍁䅁兒歂䝁䄰睢畂䡁䅑睢畂䍁䅷䅉䑂䝁䅅杢桂䝁䅑兙畁䅁䅁睫䅁䍁䅑䅁呂䡁䅑党獂䝁䅷兙瑁䕁䅯睢畂䝁䅕督杁䕁䅫杢橂䍁䄴䅁㑄䅁䅁杅䅁䙁䅑睕䙂䑁䅯兎㕁䑁䅍䅏䅁䕁䅍䅁啁䅁䅁䅖呂䙁䅧兌坂䑁䅯兑䙂䙁䅁䅁㥄䅁䅁䅋䅁䙁䅣兡獂䝁䅷䅚桂䝁䄴䅉䡂䡁䅉睢ㅂ䡁䅁䅌杁䕁䅫杢橂䍁䄴䅁㍂䅁䅁䅅䅁䙁䅑睕奂䑁䅯兑䝂䕁䄴䅁十允䅁杅䅁䙁䅑睕奂䑁䅯兑啂䙁䅉䅔䅁䝁䄸䅁允䅁䅁䅖呂䙁䅧杏䉂䙁䅑睕䅁䕁䅑䅁十䅁䅁䅖呂䙁䅧杏䍂䕁䅷䅒兂䅁䅁睂䅅䉁䅁䅁啂䙁䅍䅗㙁䕁䅍兑呂䅁䅁眶䅁䉁䅁䅁啂䙁䅍䅗㙁䕁䅙䅖䡂䅁䅁儰䅁䉁䅁䅁啂䙁䅍䅗㙁䕁䅣䅒䵂䅁䅁杄䅁䉁䅑䅁啂䙁䅍䅗㙁䕁䅧䅕呂䍁䄴兑䅁䅁䉑䅁允䅁䅁䅖呂䙁䅧杏䵂䕁䄴杕䅁䉁䉅䅁十䅁䅁䅖呂䙁䅧杏乂䕁䅅䅖卂䅁䅁睷䅁䙁䡑䅁卂䡁䅕督穂䝁䅕䅢杁䕁䄰党あ䝁䅅䅢穂䍁䅁兓畂䝁䅍杌杁䝁䅕杢湂䝁䅅睚求䡁䅍䅉灂䝁䄴䅉あ䝁䅧党杁䝁䅑兡穂䡁䅑杣灂䝁䅉兤あ䝁䅫睢畂䍁䅁睢浂䍁䅁督あ䝁䅕党獂䍁䅁兙畂䝁䅑䅉療䡁䅑䅡求䡁䅉䅉瑂䝁䅕䅤桂䝁䅷䅉睂䡁䅉睢歂䡁䅕睙あ䡁䅍䅉灂䝁䄴䅉䑂䝁䅅杢桂䝁䅑兙杁䝁䅅杢歂䍁䅁䅤潂䝁䅕䅉噂䝁䄴兡あ䝁䅕䅚杁䙁䅍䅤桂䡁䅑党穂䍁䄴䅉啂䝁䅧党杁䝁䅍睢瑂䡁䅁兙畂䡁䅫䅉療䡁䅁党祂䝁䅅䅤求䡁䅍䅉あ䝁䅧杣療䡁䅕睚潂䍁䅁兔求䡁䅑兙獂䡁䅍䅉呂䝁䅕杣㉂䝁䅫睙求䍁䅁睑求䝁䄴䅤求䡁䅉督獁䍁䅁兒畂䝁䅕杣湂䡁䅫䅉䝂䝁䅫党獂䝁䅑䅉呂䡁䅑睢祂䝁䅕督獁䍁䅁兙畂䝁䅑䅉呂䡁䅑党求䝁䅷䅉䕂䝁䅫督あ䡁䅉兡楂䡁䅕䅤灂䝁䄸杢杁䡁䅍党湂䝁䄰党畂䡁䅑督畁䍁䅁䅖潂䝁䅕䅉乂䝁䅕䅤桂䝁䅷䅉呂䝁䅕杣㉂䝁䅫睙求䍁䅁睑求䝁䄴䅤求䡁䅉督杁䡁䅍党湂䝁䄰党畂䡁䅑䅉療䡁䅁党祂䝁䅅䅤求䡁䅍䅉桂䍁䅁杢求䡁䅑睤療䡁䅉睡杁䝁䄸杚杁䝁䄰党あ䝁䅅䅢穂䍁䅁督求䡁䅉杤灂䝁䅍党杁䝁䅍党畂䡁䅑党祂䡁䅍䅌杁䡁䅣䅡灂䝁䅍䅡杁䡁䅁杣療䡁䅙兡歂䝁䅕䅉瑂䝁䅕䅤桂䝁䅷䅉睂䡁䅉睢歂䡁䅕睙あ䡁䅍䅉灂䝁䄴䅉㉂䝁䅅杣灂䝁䄸兤穂䍁䅁督灂䡁䅯党穂䍁䅷䅉穂䝁䅧兙睂䝁䅕督獁䍁䅁兙畂䝁䅑䅉穂䡁䅁党橂䝁䅫杚灂䝁䅍兙あ䝁䅫睢畂䡁䅍䅌杁䝁䅫杢橂䝁䅷兤歂䝁䅫杢湂䍁䅁睙桂䡁䅉杙療䝁䄴䅉潂䝁䄸䅤杁䡁䅉睢獂䝁䅷党歂䍁䅁兙畂䝁䅑䅉橂䝁䄸䅢歂䍁䅁杚灂䝁䄴兡穂䝁䅧党歂䍁䅁督あ䝁䅕党獂䍁䅷䅉睂䝁䅫䅣求䍁䅁兙畂䝁䅑䅉あ䡁䅕杙ㅂ䝁䅷兙祂䍁䅷䅉穂䡁䅑兙灂䝁䄴䅢求䡁䅍督杁䡁䅍䅤求䝁䅕䅢獁䍁䅁兙獂䡁䅕兢灂䝁䄴兤瑂䍁䅷䅉桂䝁䄴䅚杁䝁䄸䅤潂䝁䅕杣杁䝁䄴睢畂䍁䄰杚求䡁䅉杣療䡁䅕督杁䡁䅍䅣求䝁䅍兡桂䝁䅷䅤㕂䍁䅁兢求䡁䅑兙獂䍁䅁䅣祂䝁䄸䅚ㅂ䝁䅍䅤穂䍁䄴䅉啂䝁䅧党杁䕁䅕杢求䡁䅉睚㕂䍁䅁杒灂䝁䅕䅢歂䍁䅁睕あ䝁䄸杣求䡁䅍䅉穂䝁䅕睚瑂䝁䅕杢あ䍁䅁睢浂䝁䅙党祂䡁䅍䅉穂䡁䅁党橂䝁䅫兙獂䝁䅫来求䝁䅑䅉睂䡁䅉睢歂䡁䅕睙あ䡁䅍䅌杁䡁䅍兤橂䝁䅧䅉桂䡁䅍䅉浂䝁䅷兙畂䝁䅣党穂䍁䅷䅉㉂䝁䅅䅢㉂䝁䅕督獁䍁䅁杚灂䡁䅑䅤灂䝁䄴睚穂䍁䅷䅉桂䝁䄴䅚杁䝁䄸䅤潂䝁䅕杣杁䡁䅁杣療䝁䅑兤橂䡁䅑督杁䡁䅑睢杁䝁䅕杢求䡁䅉睚㕂䍁䅁兡畂䝁䅑兤穂䡁䅑杣㕂䍁䄴䅉啂䝁䅧党杁䙁䅍䅤求䝁䅕䅢杁䕁䅑兡穂䡁䅑杣灂䝁䅉兤あ䝁䄸杣穂䍁䅁督求䝁䅣兢求䝁䄴䅤杁䡁䅍党獂䝁䅷督杁䡁䅍䅤求䝁䅕䅢杁䡁䅁杣療䝁䅑兤橂䡁䅑督杁䝁䅍睢瑂䡁䅁杣灂䡁䅍兡畂䝁䅣䅉橂䝁䅅杣楂䝁䄸杢杁䡁䅍䅤求䝁䅕䅢杁䡁䅁䅢桂䡁䅑党獁䍁䅁杚獂䝁䅅䅤杁䡁䅉睢獂䝁䅷党歂䍁䅁䅣祂䝁䄸䅚ㅂ䝁䅍䅤穂䍁䅷䅉楂䝁䅕兙瑂䡁䅍䅌杁䝁䅍䅡桂䝁䄴杢求䝁䅷督獁䍁䅁兙畂䝁䅑䅉睂䝁䅫䅣求䡁䅍䅉あ䝁䄸䅉療䡁䅑䅡求䡁䅉䅉穂䡁䅑党求䝁䅷䅉穂䝁䅕杣㉂䝁䅫睙求䍁䅁睙求䝁䄴䅤求䡁䅉督杁䝁䅅杢歂䍁䅁党硂䡁䅕兡睂䝁䄰党畂䡁䅑䅉瑂䝁䅅杢ㅂ䝁䅙兙橂䡁䅑兤祂䝁䅕杣穂䍁䄴䅉卂䡁䅕督穂䝁䅕䅢杁䕁䄰党あ䝁䅅䅢穂䍁䅁兓畂䝁䅍杌杁䡁䅣兙穂䍁䅁兡畂䝁䅍睢祂䡁䅁睢祂䝁䅅䅤求䝁䅑䅉灂䝁䄴䅉硁䑁䅫杍㕁䍁䅁兙畂䝁䅑䅉灂䡁䅍䅉潂䝁䅕兙歂䡁䅅兤桂䡁䅉䅤求䡁䅉党歂䍁䅁兡畂䍁䅁兔灂䡁䅍督灂䡁䅍督桂䡁䅕睚桂䍁䅷䅉䑂䝁䅅杢桂䝁䅑兙畁䅁䅁䅱䅅䅁䄴䅁啂䙁䅍䅗㙁䕁䄰睒䅁䵁䄴䅁允䅁䅁䅖呂䙁䅧杏乂䙁䅉兒䅁䵁䄰䅁权杄䅁睕あ䝁䅅杢あ䝁䅕睙杁䕁䅫杢橂䍁䄴䅉睂䡁䅉睢㉂䝁䅫䅚求䡁䅍䅉睂䡁䅉睢浂䝁䅕督穂䝁䅫睢畂䝁䅅䅢杁䡁䅍党祂䡁䅙兡橂䝁䅕督杁䝁䅫杢杁䡁䅑䅡求䍁䅁兙祂䝁䅕兙穂䍁䅁睢浂䍁䅁兡畂䝁䅙杣桂䡁䅍䅤祂䡁䅕睙あ䡁䅕杣求䍁䅁兙畂䝁䅑䅉浂䝁䅅睙灂䝁䅷兡あ䝁䅫党穂䍁䅁䅤療䍁䅁䅣祂䝁䅫杤桂䡁䅑党杁䝁䅅杢歂䍁䅁䅣ㅂ䝁䅉䅢灂䝁䅍䅉穂䝁䅕睙あ䝁䄸杣穂䍁䅁兡畂䍁䅁睑桂䝁䄴兙歂䝁䅅䅌杁䡁䅑䅡求䍁䅁兖畂䝁䅫䅤求䝁䅑䅉呂䡁䅑兙あ䝁䅕督獁䍁䅁兙畂䝁䅑䅉灂䝁䄴䅤求䡁䅉杢桂䡁䅑兡療䝁䄴兙獂䝁䅷入畁䍁䅁䅖潂䝁䅕䅉橂䝁䄸兢睂䝁䅅杢㕂䍁䅁睢浂䝁䅙党祂䡁䅍䅉求䡁䅙兙獂䡁䅕兙あ䝁䅫睢畂䍁䅷䅉睂䝁䅷兙畂䝁䄴兡畂䝁䅣䅌杁䝁䅅杢歂䍁䅁䅚求䡁䅍兡湂䝁䄴兡畂䝁䅣䅉灂䝁䄴杚祂䝁䅅督あ䡁䅉兤橂䡁䅑兤祂䝁䅕䅉穂䝁䄸䅢ㅂ䡁䅑兡療䝁䄴督㝁䍁䅁杤桂䡁䅉兡療䡁䅕督杁䡁䅁党祂䝁䄰兡あ䡁䅑兡畂䝁䅣䅌杁䝁䅍睢畂䡁䅍党祂䡁䅙兙あ䝁䅫睢畂䍁䅷䅉求䝁䅍睢穂䡁䅫督あ䝁䅕兢杁䡁䅉党穂䡁䅑睢祂䝁䅅䅤灂䝁䄸杢獁䍁䅁䅡求䝁䅅䅢あ䝁䅧䅉穂䝁䅍兡求䝁䄴睙求䡁䅍䅌杁䝁䅅杢歂䍁䅁党畂䡁䅙兡祂䝁䄸杢瑂䝁䅕杢あ䝁䅅䅢獁䍁䅁督療䝁䅍兡桂䝁䅷䅌杁䝁䅅杢歂䍁䅁睚療䡁䅙党祂䝁䄴兙畂䝁䅍党杁䡁䅍䅤祂䝁䅅䅤求䝁䅣入杁䡁䅍党祂䡁䅙兡橂䝁䅕督㝁䍁䅁督療䝁䅷兤あ䝁䅫睢畂䡁䅍䅉浂䝁䄸杣杁䡁䅍兤穂䡁䅑兙灂䝁䄴兙楂䝁䅷党杁䡁䅣兙あ䝁䅕杣杁䡁䅉党穂䝁䄸兤祂䝁䅍党穂䍁䅷䅉睂䝁䅷兙畂䝁䄴兡畂䝁䅣䅌杁䝁䄰兙畂䝁䅅睚求䝁䄰党畂䡁䅑䅌杁䝁䅅杢歂䍁䅁兡畂䝁䅙杣桂䡁䅍䅤祂䡁䅕睙あ䡁䅕杣求䑁䅳䅉灂䝁䄴䅤求䝁䅣杣桂䡁䅑党歂䍁䅁兙祂䝁䅍䅡灂䡁䅑党橂䡁䅑兤祂䝁䅕䅌杁䝁䅕杢湂䝁䅫杢求䝁䅕杣灂䝁䄴睚獁䍁䅁兡畂䡁䅑党祂䝁䅫睢祂䍁䅁䅚求䡁䅍兡湂䝁䄴䅌杁䝁䅅杢歂䍁䅁䅣獂䝁䅅杢畂䝁䅫杢湂䍁䅁督療䝁䅷兤あ䝁䅫睢畂䡁䅍䅉浂䝁䄸杣杁䝁䅉兤灂䝁䅷䅚灂䝁䄴睚穂䑁䅳䅉桂䝁䄴䅚杁䝁䅕杢求䡁䅉睚㕂䍁䅁兙畂䝁䅑䅉祂䝁䅕督療䡁䅕杣橂䝁䅕督杁䡁䅍睢獂䡁䅕䅤灂䝁䄸杢穂䍁䄴䅉䩂䡁䅑䅉桂䝁䅷督療䍁䅁䅣祂䝁䄸杤灂䝁䅑党穂䍁䅁睙療䝁䄴督ㅂ䝁䅷䅤灂䝁䄴睚杁䡁䅍党祂䡁䅙兡橂䝁䅕督杁䝁䅫杢杁䝁䅕杢湂䝁䅫杢求䝁䅕杣灂䝁䄴睚獁䍁䅁兙祂䝁䅍䅡灂䡁䅑党橂䡁䅑兤祂䝁䅕䅌杁䝁䅫杢あ䝁䅕杣灂䝁䄸杣杁䝁䅑党穂䝁䅫睚畂䍁䅷䅉獂䝁䅅杢歂䡁䅍睙桂䡁䅁党杁䝁䅅杣橂䝁䅧兡あ䝁䅕睙あ䡁䅕杣求䍁䅷䅉穂䡁䅕杣㉂䝁䅕入灂䝁䄴睚獁䍁䅁党畂䡁䅙兡祂䝁䄸杢瑂䝁䅕杢あ䝁䅅䅢杁䡁䅍睙灂䝁䅕杢橂䝁䅕督獁䍁䅁䅣祂䝁䄸条求䝁䅍䅤杁䝁䄰兙畂䝁䅅睚求䝁䄰党畂䡁䅑䅌杁䝁䅅杢歂䍁䅁䅣祂䝁䄸条求䝁䅍䅤杁䝁䅕睙療䝁䄴睢瑂䝁䅫睙穂䍁䄴䅉䩂䝁䄴䅉桂䝁䅑䅚灂䡁䅑兡療䝁䄴䅌杁䡁䅑䅡求䍁䅁睙療䝁䄰䅣桂䝁䄴入杁䡁䅁杣療䡁䅙兡歂䝁䅕督杁䝁䅙兡祂䝁䅕䅉求䝁䄴睚灂䝁䄴党求䡁䅉兡畂䝁䅣䅌杁䝁䅕䅢求䝁䅍䅤祂䝁䅫睙桂䝁䅷䅌杁䝁䄰党橂䝁䅧兙畂䝁䅫睙桂䝁䅷䅌杁䝁䅧入歂䡁䅉兙ㅂ䝁䅷兡橂䡁䅍䅌杁䝁䅉兤灂䝁䅷䅚灂䝁䄴睚穂䍁䅁督ㅂ䡁䅍䅤桂䝁䅫杢桂䝁䅉兡獂䝁䅫䅤㕂䍁䅷䅉桂䝁䄴䅚杁䝁䅍兡㉂䝁䅫䅢杁䝁䅕䅥睂䝁䅕杣あ䝁䅫督求䍁䅁督求䡁䅉杤灂䝁䅍党穂䑁䅳䅉穂䝁䅕杣㉂䝁䅫睙求䡁䅍䅉灂䝁䄴䅉瑂䝁䅫督穂䝁䅫睢畂䍁䅁睙祂䝁䅫䅤灂䝁䅍兙獂䍁䅷䅉桂䝁䅍兙歂䝁䅕兢灂䝁䅍䅌杁䝁䅍兡㉂䝁䅫睙獁䍁䅁睙ㅂ䝁䅷䅤ㅂ䡁䅉兙獂䍁䅷䅉桂䡁䅙兡桂䡁䅑兡療䝁䄴䅌杁䡁䅍睙灂䝁䅕杢橂䝁䅕䅉桂䝁䄴䅚杁䡁䅑党橂䝁䅧杢療䝁䅷睢湂䡁䅫䅌杁䝁䅍睢瑂䝁䄰党祂䝁䅍兡桂䝁䅷䅌杁䝁䅫杢歂䡁䅕督あ䡁䅉兡桂䝁䅷䅌杁䝁䅅杢歂䍁䅁睤療䡁䅉睡睂䝁䅷兙橂䝁䅕睏杁䝁䅅杢歂䍁䅁䅚求䝁䅷兡㉂䝁䅕杣穂䍁䅁督求䡁䅉杤灂䝁䅍党穂䍁䅁䅤療䍁䅁䅢療䝁䅍兙獂䍁䅁兙ㅂ䡁䅑䅡療䡁䅉兡あ䝁䅫党穂䍁䅷䅉湂䝁䄸杤求䡁䅉杢瑂䝁䅕杢あ䍁䅁䅚求䡁䅁兙祂䡁䅑兢求䝁䄴䅤穂䍁䅷䅉睂䡁䅉兡㉂䝁䅅䅤求䍁䅁睙獂䝁䅫党畂䡁䅑督獁䍁䅁兙畂䝁䅑䅉ㅂ䡁䅑兡獂䝁䅫䅤㕂䍁䅁睙療䝁䄰䅣桂䝁䄴兡求䡁䅍杌杁䕁䅙兤祂䡁䅑䅡求䡁䅉䅌杁䡁䅑䅡求䍁䅁睙療䝁䄰䅣桂䝁䄴入杁䝁䅫督杁䝁䅫杢㉂䝁䄸䅢㉂䝁䅕䅚杁䝁䅫杢杁䡁䅑䅡求䍁䅁䅣獂䝁䅅杢畂䝁䅫杢湂䍁䅷䅉歂䝁䅕督灂䝁䅣杢獁䍁䅁睙療䝁䄴督あ䡁䅉兤橂䡁䅑兡療䝁䄴䅉桂䝁䅑兢灂䝁䄴兡穂䡁䅑杣桂䡁䅑兡療䝁䄴䅌杁䝁䅍睢瑂䝁䄰兡穂䡁䅍兡療䝁䄴兡畂䝁䅣䅌杁䝁䄰兙灂䝁䄴䅤求䝁䄴兙畂䝁䅍党獁䍁䅁䅚求䝁䅍睢瑂䝁䄰兡穂䡁䅍兡療䝁䄴兡畂䝁䅣䅌杁䝁䅅杢歂䍁䅁杣求䝁䄰党歂䝁䅫兙あ䝁䅫睢畂䍁䅁督求䡁䅉杤灂䝁䅍党穂䍁䄴䅉䉂䝁䅑䅚灂䡁䅑兡療䝁䄴兙獂䝁䅷入獁䍁䅁兡あ䍁䅁睢浂䝁䅙党祂䡁䅍䅉灂䝁䄴杚祂䝁䅅督あ䡁䅉兤橂䡁䅑兤祂䝁䅕䅉睂䝁䅷兙畂䝁䄴兡畂䝁䅣䅌杁䝁䅫杢穂䡁䅁党橂䡁䅑兡療䝁䄴䅌杁䡁䅁杣療䝁䅯党橂䡁䅑䅉瑂䝁䅅杢桂䝁䅣党瑂䝁䅕杢あ䍁䅷䅉桂䝁䄴䅚杁䝁䅍睢畂䡁䅍䅤祂䡁䅕睙あ䝁䅫睢畂䍁䅁兢桂䝁䄴兙湂䝁䅕兢求䝁䄴䅤杁䡁䅍党祂䡁䅙兡橂䝁䅕督㝁䍁䅁䅤祂䝁䅅杢穂䡁䅁睢祂䡁䅑兙あ䝁䅫睢畂䍁䅷䅉楂䡁䅕兡獂䝁䅑兡畂䝁䅣督獁䍁䅁兙畂䝁䅑䅉求䝁䄴杤灂䡁䅉睢畂䝁䄰党畂䡁䅑兙獂䍁䅁督求䡁䅉杤灂䝁䅍党穂䑁䅳䅉桂䝁䄴䅚杁䝁䅕杢求䡁䅉睚㕂䍁䅁兙畂䝁䅑䅉穂䡁䅕督あ䝁䅅兡畂䝁䅅杙灂䝁䅷兡あ䡁䅫䅌杁䝁䅙兡祂䝁䅕䅉穂䝁䅅杚求䡁䅑入獁䍁䅁睙灂䡁䅙兡獂䍁䅁兙畂䝁䅑䅉穂䡁䅑杣ㅂ䝁䅍䅤ㅂ䡁䅉兙獂䍁䅷䅉桂䝁䄴䅚杁䝁䄰党橂䝁䅧兙畂䝁䅫睙桂䝁䅷䅌杁䝁䅕䅢求䝁䅍䅤祂䝁䅫睙桂䝁䅷䅉桂䝁䄴䅚杁䡁䅁䅢ㅂ䝁䄰杙灂䝁䄴睚杁䍁䅧兔䙂䙁䅁克杁䝁䅕杢湂䝁䅫杢求䝁䅕杣灂䝁䄴睚獁䍁䅁䅤祂䝁䅅杢穂䡁䅁睢祂䡁䅑䅌杁䝁䅕杢㉂䝁䅫杣療䝁䄴兢求䝁䄴䅤桂䝁䅷䅌杁䝁䅅杢歂䍁䅁睚求䝁䄸䅤求䝁䅍䅡畂䝁䅫睙桂䝁䅷䅉穂䝁䅕杣㉂䝁䅫睙求䡁䅍杌杁䙁䅑䅡求䍁䅁睙療䝁䄰䅣桂䝁䄴入杁䡁䅣兙穂䍁䅁杚療䡁䅉兢求䡁䅉䅢㕂䍁䅁睡畂䝁䄸睤畂䍁䅁兙穂䍁䅁睕あ䝁䅅杢獂䝁䅕入杁䙁䅑党橂䝁䅧杢療䝁䅷睢湂䡁䅫䅉䡂䡁䅉睢ㅂ䡁䅁䅉䩂䝁䄴睙畁䍁䅁兙畂䝁䅑䅉橂䝁䅧兙畂䝁䅣党歂䍁䅁兡あ䡁䅍䅉畂䝁䅅兢求䍁䅁䅤療䍁䅁睕あ䝁䅅杢あ䝁䅕睙杁䕁䅫杢橂䍁䄴䅉灂䝁䄴䅉偂䝁䅍䅤療䝁䅉党祂䍁䅁免㕁䑁䅫䅏畁䍁䅁睕あ䝁䅅杢あ䝁䅕睙杁䕁䅫杢橂䍁䄴䅉㍂䝁䅅督杁䝁䅙睢ㅂ䝁䄴䅚求䝁䅑䅉灂䝁䄴䅉硁䑁䅫兎ぁ䍁䅁兙畂䝁䅑䅉灂䡁䅍䅉潂䝁䅕兙歂䡁䅅兤桂䡁䅉䅤求䡁䅉党歂䍁䅁兡畂䍁䅁兒歂䝁䄰睢畂䡁䅑睢畂䍁䅷䅉䑂䝁䅅杢桂䝁䅑兙畁䅁䅁兲䅅䉁䅁䅁啂䙁䅍䅗㙁䙁䅁村䵂䅁䅁朷䅁䉁䅁䅁啂䙁䅍䅗㙁䙁䅉兖呂䅁䅁兴䅁䉁䅁䅁啂䙁䅍䅗㙁䙁䅍兓呂䅁䅁䄯䅁䉁䅁䅁啂䙁䅍䅗㙁䙁䅍䅗兂䅁䅁眸䅁䉁䅁䅁啂䙁䅍䅗㙁䙁䅑杖䱂䅁䅁杸䅁䉁䅁䅁啂䙁䅍䅗㙁䙁䅣䅕䱂䅁䅁儵䅁䉁䅁䅁啂䙁䅍䅗㙁䙁䅧䅖䑂䅁䅁眰䅁䉁䅁䅁啂䙁䅍䅗坂䑁䅯䅒䙂䅁䅁元䅁䉁䅉䅁啂䙁䅍䅗坂䑁䅯杒䍂䕁䅙䅁䙁䅁䅁䅌䅁䙁䅑杣桂䝁䄴督橂䝁䄸杢あ䝁䅫杢求䝁䄴䅤桂䝁䅷䅉䩂䝁䄴睙畁䅁䅁眴䅁䉁䅙䅁坂䕁䅍睌兂䕁䅕䅉䝂䝁䅫杣瑂䅁䅁八䅅䉁䅙䅁坂䝁䅕䅢桂䝁䄴䅉䩂䝁䄴睙畁䅁䅁睹䅁偁䭉䅁坂䝁䅕䅢桂䝁䄴䅉䩂䝁䄴睙畁䍁䅁䅚求䡁䅍兡湂䝁䄴督獁䍁䅁兢桂䝁䄴兤浂䝁䅅睙あ䡁䅕杣求䡁䅍䅌杁䝁䅅杢歂䍁䅁兢桂䡁䅉睡求䡁䅑督杁䝁䅫杢歂䡁䅕督あ䡁䅉兡桂䝁䅷䅉㉂䝁䅅䅢㉂䝁䅕督杁䡁䅣睢祂䝁䅷䅚㍂䝁䅫䅚求䍁䄴䅉啂䝁䅧党杁䝁䅍睢瑂䡁䅁兙畂䡁䅫䅉療䝁䅙杚求䡁䅉督杁䡁䅅兤桂䡁䅉䅤求䡁䅉兌あ䡁䅕杣畂䍁䅁杤桂䝁䅷杤求䡁䅍䅌杁䡁䅍兤橂䝁䅧䅉桂䡁䅍䅉楂䝁䅅䅢獂䍁䅷䅉潂䝁䅫睚潂䍁䅁䅣求䡁䅉杚療䡁䅉兢桂䝁䄴睙求䍁䅁䅤潂䡁䅉党求䍁䄰䅣灂䝁䅕睙求䍁䅁杙桂䝁䅷䅢獁䍁䅁睚求䝁䄴党祂䝁䅅䅢杁䡁䅁兤祂䡁䅁睢穂䝁䅕䅉楂䝁䅅䅢獂䍁䅷䅉瑂䝁䅕䅤桂䝁䅷兌穂䝁䅕兙あ䝁䅕䅚杁䝁䅉兙獂䝁䅷䅌杁䡁䅑杣灂䡁䅁䅢求䍁䄰睢浂䝁䅙督求䡁䅑䅌杁䝁䅧兡湂䝁䅧䅉睂䝁䅕杣浂䝁䄸杣瑂䝁䅅杢橂䝁䅕䅉橂䡁䅉入療䝁䅣党畂䝁䅫睙杁䝁䅉兤あ䡁䅑党祂䝁䅙䅢㕂䍁䅷䅉橂䝁䄸睡求䡁䅉䅉楂䝁䅅䅢獂䍁䅷䅉桂䝁䄴䅚杁䝁䅍兙睂䍁䄰䅤灂䝁䅣䅡あ䍁䅁杙桂䡁䅑睙潂䍁䅁䅚灂䝁䅣党穂䡁䅑党祂䍁䅁睙桂䡁䅁䅣灂䝁䄴睚杁䡁䅙兙獂䡁䅙党穂䑁䅳䅉桂䝁䄴䅚杁䝁䅣兙あ䝁䅕䅌杁䝁䅣䅢療䝁䅉党獁䍁䅁兙畂䝁䅑䅉橂䝁䅧党橂䝁䅳䅉㉂䝁䅅䅢㉂䝁䅕督獁䍁䅁兡畂䝁䅍䅢ㅂ䝁䅑兡畂䝁䅣䅉睂䡁䅉党穂䡁䅍兤祂䝁䅕䅉穂䝁䅕兙獂䍁䅷䅉楂䝁䄸䅢あ䝁䅕䅚杁䝁䅉睢畂䝁䄴党あ䍁䅁䅡灂䝁䅣䅡杁䡁䅁杣求䡁䅍督ㅂ䡁䅉党獁䍁䅁睙桂䡁䅍䅤杁䡁䅍䅤求䝁䅕䅢獁䍁䅁睙桂䡁䅍䅤杁䡁䅍䅤桂䝁䅫杢獂䝁䅕督穂䍁䅁督あ䝁䅕党獂䍁䅁睙療䡁䅉杣療䡁䅍兡療䝁䄴䅉祂䝁䅕督灂䡁䅍䅤桂䝁䄴䅤獁䍁䅁督瑂䝁䅅䅢獂䍁䅁杚療䡁䅉睚求䝁䅑䅌杁䝁䅉睢畂䝁䄴党あ䝁䅷党穂䡁䅍䅌杁䝁䅅杢歂䍁䅁䅚ㅂ䝁䅅䅢瑁䡁䅁䅢桂䡁䅑党杁䝁䅍䅡求䝁䅍睡杁䡁䅙兙獂䡁䅙党穂䍁䅷䅉桂䡁䅍䅉㍂䝁䅕䅢獂䍁䅁兙穂䍁䅁兢桂䝁䅫杢あ䝁䅕杢桂䝁䄴睙求䍁䅁杤桂䝁䅷杤求䡁䅍䅉浂䝁䄸杣杁䝁䄴兤橂䝁䅷党桂䡁䅉䅉穂䝁䅕杣㉂䝁䅫睙求䍁䄴䅉䩂䡁䅑䅉睂䡁䅉睢㉂䝁䅫䅚求䡁䅍䅉橂䡁䅉入療䝁䅣党畂䝁䅫睙杁䡁䅙兙獂䡁䅙党穂䍁䅁睙療䝁䄰䅣祂䝁䅫督灂䝁䄴睚杁䝁䅍兙穂䡁䅑䅉穂䡁䅑党求䝁䅷䅉橂䡁䅉入療䝁䅣党畂䝁䅫睙獁䍁䅁督瑂䝁䅅䅢獂䍁䅁杚療䡁䅉睚求䝁䅑䅉橂䡁䅉入療䝁䅣党畂䝁䅫睙獁䍁䅁睙祂䡁䅫睢湂䝁䅕杢灂䝁䅍䅉あ䡁䅉兡睂䝁䅷党瑁䝁䄸杚浂䡁䅍党あ䍁䅷䅉楂䝁䅅䅢獂䍁䅷䅉桂䝁䄴䅚杁䝁䅍杣㕂䝁䄸睚求䝁䄴兡橂䍁䅁睙療䝁䄴䅤祂䝁䄸䅢杁䡁䅙兙獂䡁䅙党穂䑁䅳䅉橂䝁䅅督あ䍁䅁兙畂䝁䅑䅉穂䝁䄰兙獂䝁䅷䅉浂䝁䄸杣湂䝁䅕䅚杁䝁䅧入歂䡁䅉睢浂䝁䅷兤療䡁䅉兡橂䍁䅁兙橂䝁䅫䅚杁䡁䅙兙獂䡁䅙党穂䑁䅳䅉楂䝁䅫兢求䡁䅑兙獂䝁䅷兡橂䍁䅁兙畂䝁䅑䅉あ䝁䅧党祂䝁䄰睢歂䡁䅫杢桂䝁䄰兡橂䍁䅁督あ䝁䅕兙瑂䍁䅁䅤祂䝁䅅䅣穂䑁䅳䅉桂䝁䄴䅚杁䝁䅉党獂䝁䅷睢㍂䡁䅍䅉穂䝁䅕兙獂䍁䅁杙療䝁䅷䅤求䝁䅑䅉楂䝁䄸杢畂䝁䅕䅤杁䝁䅧兡湂䝁䅧䅉睂䡁䅉党穂䡁䅍兤祂䝁䅕䅌杁䡁䅍党桂䝁䅷䅉橂䝁䅅督あ䍁䅁督あ䝁䅕党獂䍁䅷䅉桂䝁䄴䅚杁䡁䅍党桂䝁䅷䅉䉂䙁䅁兓杁䡁䅍兢桂䝁䅷䅢杁䝁䅙睢祂䝁䅣党歂䍁䅁杤桂䝁䅷杤求䡁䅍杌杁䙁䅑䅡求䍁䅁睙療䝁䄰䅣桂䝁䄴入杁䡁䅍党祂䡁䅙党穂䍁䅁杢ㅂ䝁䅍䅢求䝁䅅杣杁䡁䅁睢㍂䝁䅕杣獁䍁䅁䅣療䡁䅣党祂䍁䅷䅉療䝁䅫䅢杁䝁䅅杢歂䍁䅁睚桂䡁䅍䅌杁䡁䅉党浂䝁䅫杢灂䝁䄴睚獁䍁䅁睙潂䝁䅕兢灂䝁䅍兙獂䍁䅷䅉睂䡁䅕䅢睂䍁䅁兙畂䝁䅑䅉睂䝁䅅䅣求䡁䅉䅌杁䝁䄰兙祂䝁䅫杢求䍁䅷䅉瑂䝁䅫杢灂䝁䄴睚獁䍁䅁䅔佂䕁䅣䅉桂䝁䄴䅚杁䝁䅍杣㕂䝁䄸睚求䝁䄴兡橂䡁䅍䅌杁䝁䅅杢歂䍁䅁睤桂䡁䅑党祂䍁䅁兙畂䝁䅑䅉㍂䝁䅅督あ䝁䅕睤桂䡁䅑党祂䍁䅁兡畂䝁䅑兤穂䡁䅑杣灂䝁䅕督畁䍁䅁兓あ䍁䅁䅣祂䝁䅫兢桂䡁䅉兡獂䡁䅫䅉穂䝁䅕䅢獂䡁䅍䅉灂䡁䅑督杁䡁䅁杣療䝁䅑兤橂䡁䅑督杁䡁䅑䅡祂䝁䄸兤湂䝁䅧䅉灂䝁䄴䅚求䡁䅁党畂䝁䅑党畂䡁䅑䅉あ䝁䅧兡祂䝁䅑兌睂䝁䅅杣あ䡁䅫䅉歂䝁䅫督あ䡁䅉兡楂䡁䅕䅤療䡁䅉督杁䝁䅅杢歂䍁䅁督桂䝁䅷党穂䍁䅁兙湂䝁䅕杢あ䡁䅍杌杁䙁䅑䅡求䍁䅁睙療䝁䄰䅣桂䝁䄴入杁䡁䅣兙穂䍁䅁杚療䡁䅉兢求䡁䅉䅢㕂䍁䅁睡畂䝁䄸睤畂䍁䅁兙穂䍁䅁杖求䝁䅷兙畂䍁䅁兒畂䝁䅣兡畂䝁䅕党祂䝁䅫杢湂䍁䅁䅔あ䝁䅑杌杁䝁䅅杢歂䍁䅁睙潂䝁䅅杢湂䝁䅕䅚杁䝁䅫䅤穂䍁䅁杢桂䝁䄰党杁䡁䅑睢杁䙁䅙党獂䝁䅅杢杁䕁䅫杢橂䍁䄴䅉灂䝁䄴䅉䝂䝁䅕杙祂䡁䅕兙祂䡁䅫䅉硁䑁䅫䅏硁䍁䄴䅉坂䝁䅕䅢桂䝁䄴䅉䩂䝁䄴睙畁䍁䅁睤桂䡁䅍䅉浂䝁䄸兤畂䝁䅑党歂䍁䅁兡畂䍁䅁免㕁䑁䅕䅍杁䝁䅅杢歂䍁䅁兡穂䍁䅁䅡求䝁䅅䅚硂䡁䅕兙祂䡁䅑党祂䝁䅕䅚杁䝁䅫杢杁䕁䄰睢畂䡁䅑杣求䝁䅅䅢獁䍁䅁睑桂䝁䄴兙歂䝁䅅杌杁䙁䅙党獂䝁䅅杢杁䕁䅫杢橂䍁䄴䅉療䡁䅁党祂䝁䅅䅤求䡁䅍䅉桂䡁䅍䅉桂䍁䅁督ㅂ䝁䅉督灂䝁䅑兡桂䡁䅉入杁䝁䄸杚杁䙁䅙党獂䝁䅅杢杁䕁䅧睢獂䝁䅑兡畂䝁䅣䅉䑂䝁䄸杌杁䕁䅷䅤歂䍁䄴䅁䙄䅁䅁䅉䅁䙁䅣睕兂䍁䅁睒獂䝁䄸杙桂䝁䅷䅉䩂䝁䄴睙畁䅁䅁兣䅁偁佁䅁塂䙁䅍䅕杁䕁䅣䅢療䝁䅉兙獂䍁䅁兓畂䝁䅍杌杁䝁䄸䅣求䡁䅉兙あ䝁䅕督杁䝁䅅督杁䝁䅅䅉睂䡁䅉睢浂䝁䅕督穂䝁䅫睢畂䝁䅅䅢杁䡁䅍党祂䡁䅙兡橂䝁䅕督杁䝁䅍睢畂䡁䅍兤獂䡁䅑兡畂䝁䅣䅉浂䝁䅫杣瑂䍁䅁兡畂䍁䅁䅤潂䝁䅕䅉噂䝁䄴兡あ䝁䅕䅚杁䙁䅍䅤桂䡁䅑党穂䍁䅷䅉䑂䝁䅅杢桂䝁䅑兙獁䍁䅁䅤潂䝁䅕䅉噂䝁䄴兡あ䝁䅕䅚杁䕁䅳兡畂䝁䅣䅚療䝁䄰䅌杁䙁䅍睤求䝁䅑党畂䍁䅷䅉䉂䡁䅕督あ䡁䅉兙獂䝁䅫兙獁䍁䅁兙畂䝁䅑䅉灂䝁䄴䅤求䡁䅉杢桂䡁䅑兡療䝁䄴兙獂䝁䅷入畁䍁䅁兓あ䍁䅁兙歂䡁䅙兡穂䝁䅕督獁䍁䅁䅣獂䝁䅅杢穂䍁䅷䅉歂䝁䅕督灂䝁䅣杢穂䍁䅷䅉桂䝁䄴䅚杁䝁䄰兙畂䝁䅅睚求䡁䅍䅉睂䡁䅉睢煂䝁䅕睙あ䡁䅍䅉浂䝁䄸杣杁䡁䅉兙灂䝁䅷䅌杁䡁䅑杣桂䝁䄴督灂䡁䅑䅌杁䝁䅅杤灂䝁䅅䅤灂䝁䄸杢獁䍁䅁䅡灂䝁䅣䅡㍂䝁䅅入穂䍁䅷䅉楂䡁䅉兡歂䝁䅣党穂䍁䅷䅉あ䡁䅕杢畂䝁䅕䅢穂䍁䅷䅉㍂䝁䅅䅤求䡁䅉䅌杁䝁䄰兙祂䝁䅫䅤灂䝁䄰党獁䍁䅁兙畂䝁䅑䅉ㅂ䡁䅉杙桂䝁䄴䅉灂䝁䄴杚祂䝁䅅督あ䡁䅉兤橂䡁䅑兤祂䝁䅕䅉浂䝁䄸杣杁䡁䅁兤楂䝁䅷兡橂䍁䅁兙畂䝁䅑䅉睂䡁䅉兡㉂䝁䅅䅤求䍁䅁睙獂䝁䅫党畂䡁䅑督獁䍁䅁睙療䝁䄴督あ䡁䅉兤橂䡁䅑兡療䝁䄴䅉橂䝁䄸杢あ䡁䅉兙橂䡁䅑睢祂䡁䅍䅌杁䝁䅅杢歂䍁䅁睢あ䝁䅧党祂䍁䅁䅣桂䡁䅉䅤畂䝁䅕杣穂䍁䄴䅉啂䝁䅧党杁䝁䅍睢瑂䡁䅁兙畂䡁䅫䅉桂䝁䅷督療䍁䅁䅣祂䝁䄸杤灂䝁䅑党穂䍁䅁党畂䝁䅣兡畂䝁䅕党祂䝁䅫杢湂䍁䅁兙畂䝁䅑䅉橂䝁䄸杢穂䡁䅕䅢あ䝁䅅杢橂䡁䅫䅉穂䝁䅕杣㉂䝁䅫睙求䡁䅍䅌杁䡁䅍兤橂䝁䅧䅉桂䡁䅍䅉歂䝁䅕睙桂䡁䅉杙療䝁䄴兡㙂䝁䅅䅤灂䝁䄸杢杁䡁䅍䅤祂䝁䅅䅤求䝁䅣兡求䡁䅍䅌杁䝁䅑兡湂䝁䅫䅤桂䝁䅷䅉楂䡁䅕兡獂䝁䅑兡畂䝁䅣䅉歂䝁䅕督灂䝁䅣杢杁䡁䅑睢杁䝁䅉兤灂䝁䅷䅚灂䝁䄴睚杁䝁䅕杢湂䝁䅫杢求䝁䅕杣灂䝁䄴睚杁䝁䅑党穂䝁䅫睚畂䍁䅷䅉桂䝁䄴䅚杁䡁䅁杣療䝁䅯党橂䡁䅑䅉瑂䝁䅅杢桂䝁䅣党瑂䝁䅕杢あ䍁䅁督求䡁䅉杤灂䝁䅍党穂䍁䄴䅉䩂䝁䄴䅉桂䝁䅑䅚灂䡁䅑兡療䝁䄴䅌杁䝁䅫䅤杁䡁䅣睢祂䝁䅳督杁䡁䅣兡あ䝁䅧䅉桂䝁䄴䅚杁䝁䅅䅚㉂䝁䅫督求䡁䅍䅉湂䝁䄸杤求䡁䅉杢瑂䝁䅕杢あ䡁䅍䅉桂䝁䄴䅚杁䡁䅁杣灂䡁䅙兙あ䝁䅕䅉穂䝁䅕睙あ䝁䄸杣杁䝁䅫杢杁䝁䅕兙祂䡁䅑䅡杁䡁䅍睙灂䝁䅕杢橂䝁䅕督杁䝁䅅杢歂䍁䅁党畂䡁䅙兡祂䝁䄸杢瑂䝁䅕杢あ䝁䅅䅢杁䡁䅍兤穂䡁䅑兙灂䝁䄴兙楂䝁䅫䅢灂䡁䅑入杁䡁䅑睢杁䝁䅍睢畂䝁䅑兤橂䡁䅑䅉歂䡁䅕党杁䝁䅑兡獂䝁䅫睚求䝁䄴睙求䍁䅷䅉睂䝁䅕杣瑂䝁䅫䅤杁䝁䅅䅣睂䡁䅉睢㉂䝁䅅䅢穂䍁䅷䅉祂䝁䅕睚ㅂ䝁䅷兙あ䝁䄸杣㕂䍁䅁睙療䝁䄰䅣獂䝁䅫兙畂䝁䅍党獁䍁䅁睤桂䡁䅍䅤求䍁䄸䅡桂䡁䅯兙祂䝁䅑睢ㅂ䡁䅍䅉瑂䝁䅅䅤求䡁䅉兡桂䝁䅷督杁䝁䄰兙畂䝁䅅睚求䝁䄰党畂䡁䅑䅌杁䝁䅣党療䡁䅑党橂䝁䅧杢灂䝁䅍兙獂䍁䅁兙畂䝁䅑䅉瑂䝁䅫杢灂䝁䄴睚杁䝁䅕杢湂䝁䅫杢求䝁䅕杣灂䝁䄴睚獁䍁䅁党畂䡁䅙兡祂䝁䄸杢瑂䝁䅕杢あ䝁䅅䅢癁䍁䅁督療䝁䅍兡桂䝁䅷䅉灂䝁䄰䅣桂䝁䅍䅤杁䝁䅅督穂䝁䅕督穂䝁䄰党畂䡁䅑督獁䍁䅁杚求䝁䅅督灂䝁䅉兡獂䝁䅫䅤㕂䍁䅷䅉桂䝁䄴䅚杁䝁䅷兙畂䝁䅑䅉祂䝁䅕兢求䝁䅑兡桂䡁䅑兡療䝁䄴䅉穂䡁䅑兤歂䝁䅫党穂䍁䄴䅉䝂䡁䅕杣あ䝁䅧党祂䍁䅷䅉あ䝁䅧党杁䝁䅍睢瑂䡁䅁兙畂䡁䅫䅉療䝁䅙杚求䡁䅉督杁䝁䅕杢求䡁䅉睚㕂䍁䅁睙獂䝁䅫党畂䡁䅑督杁䡁䅍兤睂䡁䅁睢祂䡁䅑䅌杁䝁䅫杢橂䝁䅷兤歂䝁䅫杢湂䍁䅁䅢桂䡁䅉睚求䍁䄰督橂䝁䅅䅢求䍁䅁䅣療䡁䅣党祂䍁䅁䅣獂䝁䅅杢あ䡁䅍䅌杁䡁䅉党畂䝁䅕睤桂䝁䅉䅢求䡁䅍䅉橂䝁䅷党桂䝁䄴䅉求䝁䄴党祂䝁䅣入杁䝁䅫杢㉂䝁䅕督あ䝁䄰党畂䡁䅑督獁䍁䅁督瑂䝁䅅䅢獂䝁䅕杣杁䝁䄸杢瑁䡁䅍兡あ䝁䅕䅉睂䝁䄸睤求䡁䅉䅉湂䝁䅕杢求䡁䅉兙あ䝁䅫睢畂䍁䅁兙畂䝁䅑䅉求䝁䅙杚灂䝁䅍兡求䝁䄴睙㕂䍁䅁䅣祂䝁䄸睚祂䝁䅅兢穂䍁䅷䅉求䝁䄴党祂䝁䅣入杁䡁䅑杣桂䝁䄴督瑂䝁䅫督穂䝁䅫睢畂䍁䅷䅉穂䡁䅑睢祂䝁䅅睚求䍁䅁兙畂䝁䅑䅉歂䝁䅫督あ䡁䅉兡楂䡁䅕䅤灂䝁䄸杢杁䝁䅙杣療䝁䄰䅉睂䡁䅉党瑁䝁䅙党桂䡁䅍兡楂䝁䅫䅢灂䡁䅑入杁䡁䅍䅤ㅂ䝁䅑兡求䡁䅍䅉桂䝁䄴䅚杁䝁䅍睢瑂䝁䄰兤畂䝁䅫䅤㕂䍁䅁党畂䝁䅣兙湂䝁䅕兢求䝁䄴䅤杁䡁䅑䅡祂䝁䄸兤湂䝁䅧䅉療䡁䅁党祂䝁䅅䅤灂䝁䄸杢杁䝁䅅杢歂䍁䅁䅚求䝁䅍睢瑂䝁䄰兡穂䡁䅍兡療䝁䄴兡畂䝁䅣睏杁䝁䅅杢歂䍁䅁䅣祂䝁䄸杤灂䝁䅑党穂䍁䅁督灂䡁䅑兡畂䝁䅣䅉桂䝁䄴䅚杁䝁䅷兡橂䝁䅕杢穂䝁䅫杢湂䍁䅷䅉睂䡁䅉睢橂䡁䅕杣求䝁䄰党畂䡁䅑䅌杁䝁䅍睢畂䡁䅍䅤祂䡁䅕睙あ䝁䅫睢畂䍁䅁兢桂䝁䄴兙湂䝁䅕兢求䝁䄴䅤獁䍁䅁党畂䝁䅣兡畂䝁䅕党祂䝁䅫杢湂䍁䅷䅉睂䡁䅉睢橂䝁䅕督穂䍁䅁䅚求䡁䅍兡湂䝁䄴䅌杁䝁䅅杢歂䍁䅁䅣祂䝁䄸䅚ㅂ䝁䅍䅤灂䡁䅙兡あ䡁䅫䅉桂䝁䄴兙獂䡁䅫督灂䡁䅍䅉あ䝁䄸䅉浂䝁䄸睢歂䍁䅁兙畂䝁䅑䅉楂䝁䅕杤求䡁䅉兙湂䝁䅕䅌杁䡁䅁䅡桂䡁䅉兢桂䝁䅍党ㅂ䡁䅑兡橂䝁䅅䅢杁䝁䅅杢歂䍁䅁杙灂䝁䄸䅤求䝁䅍䅡畂䝁䄸䅢療䝁䅣入獁䍁䅁兙求䡁䅉睢穂䡁䅁兙橂䝁䅕䅌杁䝁䅅兤あ䝁䄸兢療䡁䅑兡㉂䝁䅕䅌杁䡁䅑党橂䝁䅧杢療䝁䅷睢湂䡁䅫䅌杁䝁䅅杢歂䍁䅁睙潂䝁䅕兢灂䝁䅍兙獂䡁䅍䅉灂䝁䄴䅚ㅂ䡁䅍䅤祂䝁䅫党穂䍁䅷䅉桂䡁䅍䅉㍂䝁䅕䅢獂䍁䅁兙穂䍁䅁睢睂䝁䅕杣桂䡁䅑兡療䝁䄴䅌杁䍁䅁兢桂䝁䅫杢あ䝁䅕杢桂䝁䄴睙求䍁䅷䅉桂䝁䄴䅚杁䝁䅑党橂䝁䄸兢瑂䝁䅫督穂䝁䅫睢畂䝁䅫杢湂䍁䅁督求䡁䅉杤灂䝁䅍党穂䍁䅁䅚ㅂ䡁䅉兡畂䝁䅣䅉あ䝁䅧党杁䝁䅙兙橂䝁䅫䅢灂䡁䅑入婁䡉䅍䅉桂䝁䅍䅤灂䡁䅙党杁䝁䅷兡浂䝁䅕杌杁䕁䅅䅚歂䝁䅫䅤灂䝁䄸杢桂䝁䅷䅢㕂䍁䅷䅉灂䡁䅑䅉療䝁䅙杚求䡁䅉督杁䡁䅍䅤祂䝁䅅䅤求䝁䅣兡橂䍁䅁兙歂䡁䅙兡穂䝁䄸杣㕂䍁䅁督求䡁䅉杤灂䝁䅍党穂䍁䅁睙療䝁䄰䅣祂䝁䅫督灂䝁䄴睚杁䡁䅁䅢桂䝁䄴杢灂䝁䄴睚杁䝁䅅杢歂䍁䅁兙歂䡁䅙兡穂䝁䄸杣㕂䍁䅷䅉瑂䝁䅅杢桂䝁䅣党瑂䝁䅕杢あ䍁䅷䅉桂䝁䄴䅚杁䡁䅑党橂䝁䅧杢療䝁䅷睢湂䡁䅫䅉桂䝁䄴䅚杁䡁䅍兤穂䡁䅑兙灂䝁䄴兙楂䝁䅫䅢灂䡁䅑入杁䡁䅍党祂䡁䅙兡橂䝁䅕督畁䍁䅁䅖潂䝁䅕䅉橂䝁䄸兢睂䝁䅅杢㕂䍁䅁睤桂䡁䅍䅉浂䝁䄸杣瑂䝁䅕杣獂䡁䅫䅉牂䝁䄴睢㍂䝁䄴䅉桂䡁䅍䅉䡂䕁䅕杔䩂䙁䅙兑卂䍁䅁兓畂䝁䅍杌杁䝁䅅杢歂䍁䅁睙潂䝁䅅杢湂䝁䅕䅚杁䝁䅫䅤穂䍁䅁杢桂䝁䄰党杁䡁䅑睢杁䙁䅣睕兂䍁䅁睒獂䝁䄸杙桂䝁䅷䅉䩂䝁䄴睙畁䍁䅁兡畂䍁䅁杓桂䝁䄴兤桂䡁䅉入杁䑁䅉䅍硁䑁䅑杌杁䙁䅣睕兂䍁䅁睒獂䝁䄸杙桂䝁䅷䅉䩂䝁䄴睙畁䍁䅁睤桂䡁䅍䅉浂䝁䄸兤畂䝁䅑党歂䍁䅁兡畂䍁䅁免㑁䑁䅧兎杁䝁䅅杢歂䍁䅁兡穂䍁䅁䅡求䝁䅅䅚硂䡁䅕兙祂䡁䅑党祂䝁䅕䅚杁䝁䅫杢杁䕁䄰睢畂䡁䅑杣求䝁䅅䅢獁䍁䅁睑桂䝁䄴兙歂䝁䅅杌䅁䥁䄰䅁煂䅄䅁睖灂䝁䅷䅢歂䝁䅅杢杁䕁䅣杣療䡁䅕䅣獁䍁䅁兓畂䝁䅍杌獁䍁䅁䅤療䝁䅣党あ䝁䅧党祂䍁䅁睤灂䡁䅑䅡杁䝁䅫䅤穂䍁䅁督ㅂ䝁䅉督灂䝁䅑兡桂䡁䅉兡求䡁䅍䅌杁䡁䅁杣療䡁䅙兡歂䝁䅕督杁䡁䅁杣療䝁䅙党穂䡁䅍兡療䝁䄴兙獂䍁䅷䅉あ䝁䅕睙潂䝁䄴兡橂䝁䅅䅢獁䍁䅁兙畂䝁䅑䅉橂䝁䄸杢穂䡁䅕䅢あ䝁䅫杢湂䍁䅁督求䡁䅉杤灂䝁䅍党穂䍁䅁䅣祂䝁䅫兢桂䡁䅉兡獂䡁䅫䅉灂䝁䄴䅉あ䝁䅧党杁䙁䅕杢灂䡁䅑党歂䍁䅁睕あ䝁䅅䅤求䡁䅍杌杁䙁䅑䅡求䍁䅁睙療䝁䄰䅣桂䝁䄴入杁䝁䄸䅣求䡁䅉兙あ䝁䅕督杁䝁䅫杢杁䡁䅑睤療䍁䅁督求䝁䅣兢求䝁䄴䅤穂䍁䅷䅉䙂䝁䄴党祂䝁䅣入獁䍁䅁兙畂䝁䅑䅉䙂䝁䄴睚灂䝁䄴党求䡁䅉兡畂䝁䅣䅉桂䝁䄴䅚杁䕁䅍睢畂䡁䅍兤獂䡁䅑兡畂䝁䅣杌杁䙁䅑䅡求䍁䅁兒畂䝁䅕杣湂䡁䅫䅉穂䝁䅕睚瑂䝁䅕杢あ䍁䅁睢浂䝁䅙党祂䡁䅍䅉橂䝁䄸兢睂䡁䅉党潂䝁䅕杢穂䝁䅫杤求䍁䅁兙ㅂ䝁䅑兡あ䍁䅁兙畂䝁䅑䅉穂䡁䅕杣㉂䝁䅕入穂䍁䅷䅉睂䡁䅉睢湂䡁䅉兙瑂䍁䅁䅚求䡁䅍兡湂䝁䄴䅉桂䝁䄴䅚杁䝁䅫兢睂䝁䅷党瑂䝁䅕杢あ䝁䅅䅤灂䝁䄸杢獁䍁䅁兢桂䡁䅍䅤求䡁䅉䅉睂䝁䅷兙畂䝁䄴兡畂䝁䅣䅌杁䝁䅑党瑂䝁䅅杢歂䍁䅁杣求䝁䅑兤橂䡁䅑兡療䝁䄴䅌杁䝁䅣杣灂䝁䅑䅉療䡁䅁䅤灂䝁䄰兡㙂䝁䅅䅤灂䝁䄸杢獁䍁䅁杙求䝁䄴睙潂䝁䄰兙祂䝁䅳兡畂䝁䅣䅉桂䝁䄴兙獂䡁䅫督求䡁䅍䅌杁䝁䅑党穂䝁䅫睚畂䍁䅁党畂䝁䅣兡畂䝁䅕党祂䝁䅫杢湂䍁䅷䅉橂䝁䄸杢穂䡁䅑杣ㅂ䝁䅍䅤灂䝁䄸杢杁䝁䄰兙畂䝁䅅睚求䝁䄰党畂䡁䅑䅌杁䡁䅁党祂䝁䅙睢祂䝁䄰兙畂䝁䅍党杁䝁䅍睢畂䡁䅑杣桂䝁䅍䅤灂䝁䄴睚獁䍁䅁兡畂䡁䅍䅤桂䝁䅷䅢桂䡁䅑兡療䝁䄴䅌杁䝁䅅䅢あ䝁䅕杣畂䝁䅅䅤灂䡁䅙党杁䝁䅙兡畂䝁䅅杢橂䝁䅫杢湂䍁䅷䅉瑂䝁䅕兙穂䡁䅕杣求䝁䄰党畂䡁䅑䅉桂䝁䄴䅚杁䡁䅙党祂䝁䅫杚灂䝁䅍兙あ䝁䅫睢畂䍁䅁督求䡁䅉杤灂䝁䅍党穂䍁䅷䅉桂䝁䄴䅚杁䡁䅍睢浂䡁䅑睤桂䡁䅉党杁䝁䅅杢歂䍁䅁䅚桂䡁䅑兙杁䝁䅅杢桂䝁䅷入あ䝁䅫睙穂䍁䅷䅉桂䡁䅍䅉㍂䝁䅕䅢獂䍁䅁兙穂䍁䅁党畂䝁䅕杣湂䡁䅫䅉橂䝁䄸杢穂䡁䅕䅢あ䝁䅫杢湂䍁䅁兙畂䝁䅑䅉求䝁䄴睚灂䝁䄴党求䡁䅉兡畂䝁䅣䅌杁䡁䅑兤祂䝁䄴睡求䡁䅫䅉浂䝁䅅睙灂䝁䅷兡あ䡁䅫䅉桂䝁䄴䅚杁䝁䅫杢浂䡁䅉兙穂䡁䅑杣ㅂ䝁䅍䅤ㅂ䡁䅉党杁䡁䅁杣療䝁䅯党橂䡁䅑督獁䍁䅁兙畂䝁䅑䅉橂䡁䅕督あ䝁䄸兢求䡁䅉䅉穂䡁䅕䅣睂䝁䄸杣あ䍁䅁督求䡁䅉杤灂䝁䅍党穂䍁䄴䅉啂䝁䅧党杁䕁䅕杢湂䝁䅫杢求䝁䅕杣灂䝁䄴睚杁䝁䅅杢歂䍁䅁睑療䝁䄴督ㅂ䝁䅷䅤灂䝁䄴睚杁䡁䅍党湂䝁䄰党畂䡁䅑䅉睂䡁䅉睢㉂䝁䅫䅚求䡁䅍䅉楂䡁䅕兡獂䝁䅑兡畂䝁䅣䅉桂䝁䄴䅚杁䡁䅍兙浂䝁䅕䅤㕂䍁䅷䅉橂䝁䅫䅤㕂䍁䅁党畂䝁䅣兡畂䝁䅕党祂䝁䅫杢湂䍁䅁兙畂䝁䅑䅉橂䝁䄸䅚求䍁䅁党畂䝁䅙睢祂䝁䅍党瑂䝁䅕杢あ䍁䅷䅉歂䝁䅕杤求䝁䅷睢睂䝁䄰党畂䡁䅑䅉睂䝁䅷兙畂䍁䅁杣求䡁䅙兡求䡁䅣䅉桂䝁䄴䅚杁䝁䅫杢穂䡁䅁党橂䡁䅑兡療䝁䄴䅌杁䝁䅑兡穂䝁䅅督あ䝁䅕杣杁䡁䅉党橂䝁䄸杤求䡁䅉入獁䍁䅁睚求䝁䄸䅤求䝁䅍䅡畂䝁䅫睙桂䝁䅷䅉桂䝁䄴䅚杁䝁䅕兙祂䡁䅑䅡硂䡁䅕兙牂䝁䅕䅉求䝁䄴睚灂䝁䄴党求䡁䅉兡畂䝁䅣䅌杁䡁䅁䅢桂䝁䄴杢灂䝁䄴睚杁䝁䅅杢歂䍁䅁督ㅂ䡁䅉杤求䡁䅫兡畂䝁䅣䅌杁䝁䅍睢畂䡁䅑杣桂䝁䅍䅤杁䡁䅍䅤桂䝁䅙杚杁䡁䅍兤睂䡁䅁睢祂䡁䅑䅌杁䡁䅁杣療䝁䅣杣桂䝁䄰䅉桂䝁䄴䅚杁䝁䅍睢畂䡁䅍䅤祂䡁䅕睙あ䝁䅫睢畂䍁䅁兢桂䝁䄴兙湂䝁䅕兢求䝁䄴䅤獁䍁䅁督あ䡁䅉兤橂䡁䅑兤祂䝁䅅䅢杁䝁䅕杢湂䝁䅫杢求䝁䅕杣灂䝁䄴睚獁䍁䅁䅤祂䝁䅅杢穂䡁䅁睢祂䡁䅑兙あ䝁䅫睢畂䍁䅁兙畂䝁䅑䅉あ䡁䅉兙浂䝁䅙兡橂䍁䅁党畂䝁䅣兡畂䝁䅕党祂䝁䅫杢湂䍁䅷䅉桂䝁䄴䅚杁䡁䅣兙あ䝁䅕杣杁䡁䅉党穂䝁䄸兤祂䝁䅍党穂䍁䅁督求䡁䅉杤灂䝁䅍党穂䍁䄴䅉啂䝁䅧兡穂䍁䅁督求䝁䅣兢求䝁䄴䅤杁䝁䅅䅢穂䝁䄸䅉療䝁䅙杚求䡁䅉督杁䝁䅑兡穂䡁䅑杣灂䝁䅍䅤杁䝁䅅䅚瑂䝁䅫杢灂䡁䅍䅤祂䝁䅅䅤灂䝁䄸杢獁䍁䅁杚灂䝁䄴兙畂䝁䅍兡桂䝁䅷䅉橂䝁䄸杢穂䡁䅕䅢あ䝁䅫杢湂䍁䅷䅉桂䝁䄴䅚杁䝁䅙党歂䝁䅕杣桂䝁䅷䅉橂䝁䄸兢睂䝁䅷兡桂䝁䄴睙求䍁䅁督求䡁䅉杤灂䝁䅍党穂䍁䄴䅉䩂䡁䅑䅉穂䝁䅕杣㉂䝁䅕督杁䡁䅁兤楂䝁䅷兡橂䍁䅁兙畂䝁䅑䅉湂䝁䄸杤求䡁䅉杢瑂䝁䅕杢あ䝁䅅䅢杁䝁䅅睚求䝁䄴睙灂䝁䅕督獁䍁䅁兡畂䝁䅍䅢ㅂ䝁䅑兡畂䝁䅣䅉橂䝁䅫䅤灂䝁䅕督獁䍁䅁睙療䡁䅕杢あ䝁䅫党穂䍁䅷䅉祂䝁䅕䅚求䡁䅙党獂䝁䄸䅣瑂䝁䅕杢あ䍁䅁兙湂䝁䅕杢橂䝁䅫党穂䍁䅷䅉㍂䝁䅅䅤求䡁䅉䅉歂䝁䅫督あ䡁䅉兡橂䡁䅑督獁䍁䅁督橂䝁䅧睢療䝁䅷䅉歂䝁䅫督あ䡁䅉兡橂䡁䅑督獁䍁䅁兙畂䝁䅑䅉ㅂ䝁䄴兡㉂䝁䅕杣穂䝁䅫䅤灂䝁䅕督㝁䍁䅁兡畂䡁䅙党穂䡁䅑睢祂䍁䅁兙畂䝁䅑䅉瑂䡁䅕杢灂䝁䅍兡睂䝁䅅䅢杁䝁䄸睤畂䝁䅕䅚杁䝁䅕杢求䡁䅉睚㕂䍁䅁兤あ䝁䅫䅢灂䡁䅑兡求䡁䅍睏杁䡁䅍䅤桂䡁䅑党杁䝁䅅杢歂䍁䅁杚求䝁䅑党祂䝁䅅䅢杁䝁䅅睚求䝁䄴睙灂䝁䅕督㝁䍁䅁兙畂䝁䅑䅉橂䝁䄸兢瑂䝁䅕杣橂䝁䅫兙獂䍁䅁兙畂䝁䅑䅉灂䝁䄴䅚ㅂ䡁䅍䅤祂䝁䅫兙獂䍁䅁杚灂䡁䅉兢穂䍁䅷䅉桂䡁䅍䅉㍂䝁䅕䅢獂䍁䅁兙穂䍁䅁杤桂䡁䅉兡療䡁䅕督杁䝁䄸䅤潂䝁䅕杣杁䡁䅍䅣求䝁䅍兡桂䝁䅷䅉歂䝁䅫督あ䡁䅉兡橂䡁䅑督杁䝁䅅杢歂䍁䅁兙湂䝁䅕杢橂䝁䅫党穂䍁䄴䅉塂䝁䅫䅢獂䝁䅑兙畂䍁䅁睒祂䝁䄸兤睂䍁䅷䅉䩂䝁䄴睙畁䍁䅁睤桂䡁䅍䅉浂䝁䄸兤畂䝁䅑党歂䍁䅁兡畂䍁䅁免㕁䑁䅙䅎杁䝁䅅杢歂䍁䅁兡穂䍁䅁䅡求䝁䅅䅚硂䡁䅕兙祂䡁䅑党祂䝁䅕䅚杁䝁䅫杢杁䕁䅅杢桂䝁䅧党灂䝁䄰䅌杁䕁䅍兙獂䝁䅫杚療䡁䅉杢灂䝁䅅杌䅁䩁䉳䅁杂睃䅁睖灂䝁䄴䅣桂䝁䅳䅉䵂䡁䅑䅚畁䍁䅁兢桂䝁䄴兤浂䝁䅅睙あ䡁䅕杣求䡁䅍䅉桂䝁䄴䅚杁䝁䅑兡穂䡁䅑杣灂䝁䅉兤あ䝁䅕督杁䡁䅁兙橂䝁䅳兙湂䝁䅫杢湂䍁䅁兢桂䡁䅑党祂䝁䅫兙獂䡁䅍䅉桂䝁䄴䅚杁䡁䅉党獂䝁䅅䅤求䝁䅑䅉睂䝁䅅睙牂䝁䅅睚灂䝁䄴睚杁䝁䄰兙橂䝁䅧兡畂䝁䅕督杁䝁䅫杢杁䡁䅑䅡求䍁䅁兖畂䝁䅫䅤求䝁䅑䅉呂䡁䅑兙あ䝁䅕督獁䍁䅁睑桂䝁䄴兙歂䝁䅅䅌杁䝁䅅杢歂䍁䅁兔求䡁䅧兡橂䝁䄸杌杁䙁䅑䅡求䍁䅁睙療䝁䄰䅣桂䝁䄴入杁䝁䄸䅣求䡁䅉兙あ䝁䅕督杁䝁䅫督杁䕁䅙䅢求䡁䅧兡楂䝁䅷党杁䙁䅁兙橂䝁䅳兙湂䝁䅫杢湂䍁䅷䅉卂䝁䅫睚灂䝁䅑䅉兂䝁䅅睙牂䝁䅅睚灂䝁䄴睚杁䝁䅅杢歂䍁䅁杒獂䝁䅕䅥灂䝁䅉䅢求䍁䅁䅔灂䝁䅑䅚灂䝁䄴睚獁䍁䅁兙畂䝁䅑䅉兂䝁䅅睙牂䝁䅅睚灂䝁䄴睚杁䕁䄰兙橂䝁䅧兡畂䝁䅕杣㕂䍁䅁督求䝁䅣兢求䝁䄴䅤穂䍁䄴䅉啂䝁䅧党杁䕁䅙䅢求䡁䅧兡楂䝁䅷党杁䙁䅁兙橂䝁䅳兙湂䝁䅫杢湂䍁䅁督求䝁䅣兢求䝁䄴䅤杁䡁䅁杣療䡁䅙兡歂䝁䅕督杁䝁䄰睢歂䝁䅫杚灂䝁䅕䅚杁䝁䅅䅤瑂䝁䄸督睂䝁䅧党祂䝁䅕䅉睂䝁䅅睙牂䝁䅅睚灂䝁䄴睚杁䡁䅁杣療䝁䅑兤橂䡁䅑督杁䝁䅙睢祂䍁䅁杚祂䝁䅕督潂䍁䅁兙畂䝁䅑䅉睂䡁䅉睢橂䝁䅕督穂䝁䅕䅚杁䝁䄰党桂䡁䅑督獁䍁䅁䅣療䡁䅕䅢あ䡁䅉入獁䍁䅁睙潂䝁䅕党穂䝁䅕䅌杁䝁䄰党歂䝁䅫睙桂䝁䅷䅉歂䝁䅕杤灂䝁䅍党杁䡁䅁兙橂䝁䅳兙湂䝁䅫杢湂䍁䅷䅉潂䝁䅫睚潂䍁䄰䅣求䡁䅉杚療䡁䅉兢桂䝁䄴睙求䍁䅁䅣療䡁䅕睙潂䍁䅷䅉桂䝁䄴䅚杁䝁䅧兡湂䝁䅧兌楂䝁䅅杣祂䝁䅫党祂䍁䅁杚灂䝁䅷兢穂䍁䅁杚療䡁䅉䅉橂䝁䄸杢㉂䝁䅕杣あ䝁䅫杢湂䍁䅁兙睂䡁䅁䅢灂䝁䅍兙あ䝁䅫睢畂䡁䅍睏杁䡁䅍䅣求䝁䅍兡桂䝁䅷䅤㕂䍁䅁杚灂䝁䅷兢穂䍁䅷䅉灂䝁䄴睙獂䡁䅕䅚灂䝁䄴睚杁䝁䅉兙祂䡁䅉兡求䡁䅉䅉桂䝁䄴䅚杁䝁䄴睢畂䍁䄰杙桂䡁䅉杣灂䝁䅕杣杁䝁䅙兡獂䝁䄰督杁䝁䅍睢畂䡁䅙党祂䡁䅑兡畂䝁䅣䅉桂䡁䅁䅣獂䝁䅫睙桂䡁䅑兡療䝁䄴督獁䍁䅁督ㅂ䝁䅍䅡杁䝁䅅督杁䡁䅁杣灂䝁䄴䅤灂䝁䄴睚獁䍁䅁䅢桂䝁䄰兡畂䝁䅅䅤灂䝁䄴睚杁䝁䅅杢歂䍁䅁杙桂䝁䅣䅉瑂䝁䅅睡灂䝁䄴睚獁䍁䅁兙穂䍁䅁睤求䝁䅷䅢杁䝁䅅督杁䡁䅍䅡祂䝁䅫杢牂䍁䅁杙桂䝁䅣督㝁䍁䅁兙畂䝁䅑䅉楂䝁䅫兙㑂䝁䅫兙獂䝁䅷入杁䝁䄸杣灂䝁䅕杢あ䝁䅕䅚杁䝁䄴入獂䝁䄸杢杁䝁䅙兡獂䝁䄰督杁䝁䅙睢祂䍁䅁杚療䝁䄸䅚杁䡁䅁兙橂䝁䅳兙湂䝁䅫杢湂䍁䅁兙畂䝁䅑䅉灂䝁䄴䅚ㅂ䡁䅍䅤祂䝁䅫兙獂䍁䅁兙睂䡁䅁䅢灂䝁䅍兙あ䝁䅫睢畂䡁䅍杌杁䙁䅑䅡求䍁䅁杕灂䝁䅣兡歂䍁䅁䅕桂䝁䅍睡桂䝁䅣兡畂䝁䅣䅉桂䝁䄴䅚杁䕁䅙䅢求䡁䅧兡楂䝁䅷党杁䕁䅷兡歂䝁䅑兡畂䝁䅣䅉穂䝁䅕睚瑂䝁䅕杢あ䍁䅁睢浂䝁䅙党祂䡁䅍䅉睂䝁䄸杣あ䝁䅫睢畂䍁䅁睙療䝁䄴䅤祂䝁䄸䅢杁䝁䅅杢歂䍁䅁督灂䝁䄴睚獂䝁䅕兌穂䝁䅕杣㉂䝁䅕䅉橂䝁䄸杢あ䝁䅅兡畂䝁䅕杣穂䍁䅷䅉桂䡁䅍䅉㍂䝁䅕䅢獂䍁䅁兙穂䍁䅁䅣獂䝁䅅督あ䝁䅫睙杁䡁䅍䅡求䝁䅕䅤獁䍁䅁睙ㅂ䡁䅍䅤療䝁䄰䅌杁䝁䅅杢歂䍁䅁杣求䡁䅑睢祂䡁䅑䅉あ䡁䅉兙㕂䡁䅍睏杁䝁䅑兡求䍁䄰睙ㅂ䡁䅑䅌杁䝁䅑兙灂䡁䅍入杁䝁䅍䅡桂䝁䅫杢獁䍁䅁兙畂䝁䅑䅉祂䝁䄸䅢獂䡁䅍䅤療䝁䅍睡杁䝁䅙睢祂䝁䄰兙あ䡁䅍䅉浂䝁䄸杣杁䝁䅙睢療䝁䅑䅌杁䝁䅑兙灂䡁䅉入獁䍁䅁杙求䡁䅙党祂䝁䅅睚求䍁䅷䅉睂䝁䅕䅤杁䝁䅙睢療䝁䅑䅌杁䝁䅫杢歂䡁䅕督あ䡁䅉兡桂䝁䅷䅌杁䝁䅅杢歂䍁䅁䅡求䝁䅅䅢あ䝁䅧睙桂䡁䅉党杁䝁䅅䅣睂䝁䅷兡橂䝁䅅䅤灂䝁䄸杢穂䑁䅳䅉桂䝁䄴䅚杁䡁䅍䅣求䝁䅍兡桂䝁䅷兡㙂䝁䅕䅚杁䡁䅁杣灂䝁䄴䅤求䝁䅑䅉睂䝁䅅睙牂䝁䅅睚灂䝁䄴睚杁䡁䅍睢獂䡁䅕䅤灂䝁䄸杢穂䍁䅁杚療䡁䅉䅉あ䝁䅧党杁䡁䅁䅡桂䡁䅉兢桂䝁䅍党ㅂ䡁䅑兡橂䝁䅅䅢獁䍁䅁䅡求䝁䅅䅢あ䝁䅧睙桂䡁䅉党獁䍁䅁杢ㅂ䡁䅑杣桂䝁䅍党ㅂ䡁䅑兡橂䝁䅅䅢獁䍁䅁睙療䡁䅍兢求䡁䅑兡橂䍁䅷䅉桂䝁䄴䅚杁䡁䅁党祂䡁䅍睢畂䝁䅅䅢杁䝁䅍兙祂䝁䅕䅉瑂䝁䅅杣牂䝁䅕䅤穂䍁䄴䅉啂䝁䅧党杁䙁䅁兙橂䝁䅳兙湂䝁䅫杢湂䍁䅁兔桂䝁䅍䅡灂䝁䄴党祂䡁䅫䅉穂䝁䅕睚瑂䝁䅕杢あ䍁䅁䅣祂䝁䄸杤灂䝁䅑党穂䍁䅁䅡療䡁䅉兡㙂䝁䄸杢あ䝁䅅䅢杁䝁䅙兡獂䝁䅷睌穂䝁䅕兙獂䍁䅁兢桂䝁䅍䅡灂䝁䄴党穂䍁䅁杚療䡁䅉䅉睂䡁䅉党浂䝁䄸杣瑂䝁䅕䅚杁䝁䅍睢畂䡁䅑兙灂䝁䄴党祂䡁䅍䅉桂䝁䄴䅚杁䡁䅙党祂䡁䅑兡橂䝁䅅䅢杁䝁䅙睢祂䝁䄰睌浂䝁䅫䅢獂䍁䄸督求䝁䅅䅢杁䡁䅁睢ㅂ䝁䅍䅡杁䝁䄰兙橂䝁䅧兡畂䝁䅕督杁䝁䅙睢祂䍁䅁䅣ㅂ䝁䄰䅣桂䝁䅉䅢求䍁䅁䅢灂䡁䅅兤灂䝁䅑䅉桂䝁䄴䅚杁䡁䅍党瑂䝁䅫兌獂䝁䅫兣ㅂ䝁䅫䅚獁䍁䅁兙穂䍁䅁睤求䝁䅷䅢杁䝁䅅督杁䡁䅙兙祂䝁䅫睢ㅂ䡁䅍䅉歂䡁䅉入杁䡁䅁杣療䝁䅑兤橂䡁䅑督畁䍁䅁䅖潂䝁䅕䅉橂䝁䄸兢睂䝁䅅杢㕂䍁䅁睤桂䡁䅍䅉灂䝁䄴睙療䡁䅉䅣療䡁䅉兙あ䝁䅕䅚杁䝁䅫杢杁䑁䅅兏㍁䑁䅕䅉桂䝁䄴䅚杁䝁䅫督杁䝁䅉兙穂䝁䅕䅚杁䝁䅫杢杁䙁䅣兡畂䝁䄴兡睂䝁䅕睚獁䍁䅁睑桂䝁䄴兙歂䝁䅅杌杁䙁䅣兡畂䡁䅁兙牂䍁䅁䅔あ䝁䅑杌杁䝁䅫督杁䝁䅅䅉穂䡁䅕杙穂䝁䅫䅚灂䝁䅅杣㕂䍁䅁睢浂䍁䅁睖灂䝁䅧兤祂䝁䅫䅉䩂䝁䄴䅤求䡁䅉杢桂䡁䅑兡療䝁䄴兙獂䍁䅁睔㕂䍁䄴䅁湄䅁䅁䅭䄸䕁䄰兗卂䍁䅁睒祂䝁䄸兤睂䍁䅁兓畂䝁䅍杌獁䍁䅁䅤潂䡁䅉睢ㅂ䝁䅣䅡杁䝁䅫䅤穂䍁䅁督ㅂ䝁䅉督灂䝁䅑兡桂䡁䅉兡求䡁䅍䅌杁䡁䅁杣療䡁䅙兡歂䝁䅕督杁䝁䅕䅢求䝁䅍䅤祂䝁䅫睙桂䝁䅷䅉橂䝁䄸杢穂䡁䅑杣ㅂ䝁䅍䅤灂䝁䄸杢杁䡁䅍党祂䡁䅙兡橂䝁䅕督杁䝁䅫杢杁䡁䅑䅡求䍁䅁兖畂䝁䅫䅤求䝁䅑䅉呂䡁䅑兙あ䝁䅕督杁䝁䅅杢歂䍁䅁睑桂䝁䄴兙歂䝁䅅杌杁䙁䅑䅡求䍁䅁睙療䝁䄰䅣桂䝁䄴入杁䝁䄸䅣求䡁䅉兙あ䝁䅕督杁䡁䅑䅡祂䝁䄸兤湂䝁䅧䅉あ䡁䅣睢杁䡁䅍党湂䝁䄰党畂䡁䅑督㙁䍁䅁䅖祂䝁䅅杢穂䝁䄰兡穂䡁䅍兡療䝁䄴䅉桂䝁䄴䅚杁䕁䅑兡穂䡁䅑杣灂䝁䅉兤あ䝁䅫睢畂䍁䅷䅉桂䝁䄴䅚杁䕁䅍睢瑂䝁䄰党祂䝁䅍兡桂䝁䅷䅉桂䝁䄴䅚杁䕁䅫杢歂䡁䅕督あ䡁䅉兡桂䝁䅷杌杁䕁䅫䅤穂䍁䅁䅖祂䝁䅅杢穂䝁䄰兡穂䡁䅍兡療䝁䄴䅉桂䝁䄴䅚杁䕁䅑兡穂䡁䅑杣灂䝁䅉兤あ䝁䅫睢畂䍁䅁督求䝁䅣兢求䝁䄴䅤杁䝁䄸杚浂䝁䅕杣穂䍁䅁兙杁䡁䅉兙畂䝁䅣党杁䝁䄸杚杁䡁䅍党祂䡁䅙兡橂䝁䅕督杁䝁䄸杢杁䝁䅕䅢求䝁䅍䅤祂䝁䅫睙杁䡁䅑杣桂䝁䄴督瑂䝁䅫督穂䝁䅫睢畂䍁䅁兙畂䝁䅑䅉歂䝁䅫督あ䡁䅉兡楂䡁䅕䅤灂䝁䄸杢杁䝁䄴党あ䡁䅣睢祂䝁䅳督獁䍁䅁兙畂䝁䅑䅉穂䡁䅕杙穂䡁䅑兙あ䝁䅫睢畂䍁䅁杚桂䝁䅍兡獂䝁䅫䅤灂䝁䅕督獁䍁䅁兡畂䝁䅍䅢ㅂ䝁䅑兡畂䝁䅣䅉歂䝁䅕督灂䝁䅣杢獁䍁䅁党畂䝁䅣兡畂䝁䅕党祂䝁䅫杢湂䍁䅷䅉睂䡁䅉睢橂䡁䅕杣求䝁䄰党畂䡁䅑䅌杁䝁䅍睢畂䡁䅍䅤祂䡁䅕睙あ䝁䅫睢畂䍁䅷䅉ㅂ䡁䅁睚祂䝁䅅䅚求䍁䅷䅉瑂䝁䅅兡畂䡁䅑党畂䝁䅅杢橂䝁䅕䅌杁䝁䅅杢歂䍁䅁杣求䡁䅁兙灂䡁䅉䅉穂䝁䅕杣㉂䝁䅫睙求䡁䅍䅉㍂䝁䅫䅤潂䍁䅁䅣祂䝁䅫兢桂䡁䅉入杁䝁䅙睢橂䡁䅕督杁䝁䄸杢杁䝁䅍睢畂䡁䅍䅤祂䡁䅕睙あ䝁䅫睢畂䍁䅷䅉瑂䝁䅅兡畂䡁䅑党畂䝁䅅杢橂䝁䅕䅌杁䝁䅅杢歂䍁䅁杣求䡁䅁兙灂䡁䅉䅉あ䝁䄸䅉橂䡁䅕督あ䝁䄸兢求䡁䅉督杁䝁䅫杢杁䡁䅑䅡求䍁䅁党獂䝁䅕睙あ䡁䅉兡橂䍁䅁兤あ䝁䅫䅢灂䡁䅑入杁䝁䅫杢歂䡁䅕督あ䡁䅉入㝁䍁䅁兙畂䝁䅑䅉穂䝁䅕杣㉂䝁䅫睙求䡁䅍䅌杁䝁䅫杢橂䝁䅷兤歂䝁䅫杢湂䍁䅁睙療䝁䄴督あ䡁䅉兤橂䡁䅑兡療䝁䄴䅉桂䝁䄴䅚杁䝁䄰兙灂䝁䄴䅤求䝁䄴兙畂䝁䅍党杁䝁䄸杚杁䝁䅧兡湂䝁䅧䅉㉂䝁䄸䅢あ䝁䅅睚求䍁䅁䅤祂䝁䅅杢穂䝁䄰兡穂䡁䅍兡療䝁䄴䅉獂䝁䅫杢求䡁䅍䅌杁䡁䅍兤楂䡁䅍䅤桂䡁䅑兡療䝁䄴督獁䍁䅁兙畂䝁䅑䅉獂䝁䄸睤求䡁䅉䅉㉂䝁䄸䅢あ䝁䅅睚求䍁䅁兤畂䝁䅑党祂䝁䅣杣療䡁䅕杢歂䍁䅁兙畂䝁䅑䅉療䡁䅙党祂䝁䅧党桂䝁䅑䅉歂䝁䅫督あ䡁䅉兡楂䡁䅕䅤灂䝁䄸杢杁䡁䅍入穂䡁䅑党瑂䡁䅍䅌杁䝁䅍䅢求䝁䅅杢杁䝁䅕杢求䡁䅉睚㕂䍁䅁䅣祂䝁䄸条求䝁䅍䅤穂䍁䅷䅉桂䝁䄴䅚杁䝁䅕䅢求䝁䅍䅤祂䝁䅫睙杁䡁䅙党潂䝁䅫睙獂䝁䅕䅉橂䝁䅧兙祂䝁䅣兡畂䝁䅣䅉灂䝁䄴杚祂䝁䅅督あ䡁䅉兤橂䡁䅑兤祂䝁䅕䅉穂䝁䅕杣㉂䝁䅫睙求䡁䅍䅌杁䝁䅅督杁䡁䅣党獂䝁䅷䅉桂䡁䅍䅉求䝁䄰党祂䝁䅣党畂䝁䅍入杁䡁䅉党穂䡁䅑睢祂䝁䅅䅤灂䝁䄸杢杁䡁䅍党祂䡁䅙兡橂䝁䅕督杁䝁䅫杢杁䡁䅉党穂䡁䅁睢畂䡁䅍党杁䡁䅑睢杁䝁䅧兤祂䡁䅉兡橂䝁䅅杢求䍁䅷䅉㍂䝁䅫䅢歂䝁䅙兡祂䝁䅕䅌杁䝁䅫睙求䍁䅁督あ䝁䄸杣瑂䍁䅷䅉療䡁䅉䅉療䡁䅑䅡求䡁䅉䅉祂䝁䅕䅢桂䡁䅑党歂䍁䅁䅚桂䝁䄰兙湂䝁䅕督畁䍁䅁䅖潂䝁䅫督杁䡁䅍党湂䝁䄰党畂䡁䅑䅉穂䝁䅕杣㉂䝁䅕督杁䝁䅅督杁䡁䅁杣灂䝁䄰党杁䝁䅍睢畂䡁䅑杣桂䝁䅍䅤療䡁䅉䅉あ䝁䄸䅉橂䡁䅕督あ䝁䄸兢求䡁䅉督獁䍁䅁督ㅂ䝁䅍䅡杁䝁䅅督杁䝁䅫杢㉂䝁䅕督あ䝁䄸杣瑁䝁䄸睤畂䝁䅕䅚杁䡁䅕䅤灂䝁䅷兡あ䝁䅫党穂䍁䅷䅉橂䝁䄸睢睂䝁䅕杣桂䡁䅑兡㉂䝁䅕督獁䍁䅁䅣祂䝁䅫杤桂䡁䅑党杁䝁䅑党㉂䝁䅕䅢療䡁䅁党祂䡁䅍䅌杁䝁䅣睢㉂䝁䅕杣畂䝁䄰党畂䡁䅑兌浂䡁䅕杢歂䝁䅕䅚杁䡁䅕䅤灂䝁䅷兡あ䝁䅫党穂䍁䅷䅉灂䝁䄴䅚求䡁䅁党畂䝁䅑党畂䡁䅑䅉睂䝁䄸睤求䡁䅉䅉睂䡁䅉睢歂䡁䅕睙求䡁䅉督獁䍁䅁兡畂䝁䅑党睂䝁䅕杢歂䝁䅕杢あ䍁䅁䅤祂䝁䅅杢穂䝁䄰兡穂䡁䅍兡療䝁䄴䅉橂䝁䄸兢睂䝁䅅杢灂䝁䅕督獁䍁䅁兡畂䝁䅑兤穂䡁䅑杣灂䝁䅅䅢杁䝁䅙兙橂䝁䅫䅢灂䡁䅑入杁䝁䄸睤畂䝁䅕杣穂䍁䅷䅉桂䝁䄴䅚杁䝁䄸䅤潂䝁䅕杣杁䝁䅍睢畂䡁䅑杣桂䝁䅍䅤療䡁䅉督畁䍁䅁䅖潂䝁䅕䅉䑂䝁䄸兢瑂䝁䅕杣橂䝁䅫兙獂䍁䅁兙畂䝁䅑䅉䩂䝁䄴䅚ㅂ䡁䅍䅤祂䝁䅫兙獂䍁䅁督求䝁䅣兢求䝁䄴䅤杁䡁䅁杣療䡁䅙兡歂䝁䅕督杁䝁䅅䅉祂䝁䅅杢湂䝁䅕䅉療䝁䅙䅉穂䝁䅕杣㉂䝁䅫睙求䡁䅍䅌杁䝁䅫杢橂䝁䅷兤歂䝁䅫杢湂䍁䅁䅚求䡁䅍兡湂䝁䄴䅌杁䝁䅫杢穂䡁䅑兙獂䝁䅷兙あ䝁䅫睢畂䍁䅷䅉瑂䝁䅅兡畂䡁䅑党畂䝁䅅杢橂䝁䅕䅌杁䝁䅅杢歂䍁䅁杣求䡁䅁兙灂䡁䅉䅉療䝁䅙䅉橂䝁䄸兢瑂䝁䅕杣橂䝁䅫兙獂䍁䅁兙畂䝁䅑䅉灂䝁䄴䅚ㅂ䡁䅍䅤祂䝁䅫兙獂䍁䅁睤灂䡁䅉兡畂䝁䅣睏杁䝁䅅杢歂䍁䅁兡畂䡁䅍䅤桂䝁䅷䅢桂䡁䅑兡療䝁䄴䅉療䝁䅙䅉灂䝁䄴䅤求䝁䅷䅢灂䝁䅣党畂䡁䅑䅉あ䡁䅉兙畂䡁䅍䅣療䡁䅉䅤桂䡁䅑兡療䝁䄴䅉穂䡁䅫督あ䝁䅕兢穂䍁䅷䅉祂䝁䄸兙歂䡁䅣兙㕂䍁䅁䅢灂䝁䅣䅡あ䝁䅫杢湂䍁䅷䅉桂䝁䄴䅚杁䡁䅍兡湂䝁䄴兙獂䝁䅫来桂䡁䅑兡療䝁䄴䅉浂䝁䄸杣杁䝁䅅兡祂䡁䅁睢祂䡁䅑督獁䍁䅁䅡療䡁䅍䅣灂䡁䅑兙獂䡁䅍䅌杁䝁䅑兙あ䝁䅅䅉橂䝁䅕杢あ䝁䅕杣穂䍁䅷䅉潂䝁䄸䅤求䝁䅷督獁䍁䅁督あ䝁䅅䅚灂䡁䅕兢穂䍁䅷䅉橂䝁䄸兢瑂䝁䅕杣橂䝁䅫兙獂䍁䅁兙畂䝁䅑䅉灂䝁䄴䅚ㅂ䡁䅍䅤祂䝁䅫兙獂䍁䅁杚桂䝁䅍兡獂䝁䅫䅤灂䝁䅕督獁䍁䅁睙獂䝁䅕兙畂䍁䅁党畂䝁䅕杣湂䡁䅫䅉睂䡁䅉睢煂䝁䅕睙あ䡁䅍䅌杁䝁䄰兙畂䡁䅕杚桂䝁䅍䅤ㅂ䡁䅉兡畂䝁䅣䅉睂䝁䅷兙畂䡁䅑督獁䍁䅁䅣祂䝁䄸睙求䡁䅍督灂䝁䄴睚杁䝁䅙兙橂䝁䅫䅢灂䡁䅑兡求䡁䅍䅌杁䡁䅣兙あ䝁䅕杣癁䡁䅣兙穂䡁䅑党瑁䡁䅣兙あ䝁䅕杣杁䡁䅑杣求䝁䅅䅤瑂䝁䅕杢あ䍁䅁杚桂䝁䅍兡獂䝁䅫䅤灂䝁䅕督獁䍁䅁兢灂䝁䄴兡畂䝁䅣䅉浂䝁䅅睙灂䝁䅷兡あ䝁䅫党穂䍁䅷䅉灂䝁䄴䅤求䝁䅷䅢灂䝁䅣党畂䡁䅑䅉あ䡁䅉兙畂䡁䅍䅣療䡁䅉䅤桂䡁䅑兡療䝁䄴䅉穂䡁䅫督あ䝁䅕兢穂䍁䅷䅉祂䝁䄸兙歂䡁䅣兙㕂䍁䅁䅢灂䝁䅣䅡あ䝁䅫杢湂䍁䅷䅉穂䝁䅫睚畂䝁䅅䅢灂䡁䅯兙あ䝁䅫睢畂䍁䅷䅉桂䝁䄴䅚杁䝁䅕䅢求䝁䅍䅤祂䝁䅫睙杁䡁䅙党潂䝁䅫睙獂䝁䅕䅉橂䝁䅧兙祂䝁䅣兡畂䝁䅣䅉灂䝁䄴杚祂䝁䅅督あ䡁䅉兤橂䡁䅑兤祂䝁䅕杌杁䙁䅑䅡灂䡁䅍䅉穂䝁䅕睚瑂䝁䅕杢あ䍁䅁督求䡁䅉杤求䡁䅍䅉湂䝁䅕杢求䡁䅉兙獂䍁䅁睙療䝁䄴䅤祂䝁䅅睙あ䝁䄸杣穂䍁䅷䅉橂䝁䄸兢瑂䝁䅕杣橂䝁䅫兙獂䍁䅁兙畂䝁䅑䅉灂䝁䄴䅚ㅂ䡁䅍䅤祂䝁䅫兙獂䍁䅁杚桂䝁䅍兡獂䝁䅫䅤㕂䍁䅁睢㍂䝁䄴党祂䡁䅍䅌杁䝁䅣睢㉂䝁䅕杣畂䝁䄰党畂䡁䅑兙獂䍁䅁兙湂䝁䅕杢橂䝁䅫党穂䍁䅷䅉桂䝁䄴䅚杁䝁䅑党㉂䝁䅕䅢療䡁䅁党祂䡁䅍杌杁䕁䄰兗卂䍁䅁睒祂䝁䄸兤睂䍁䅁兓畂䝁䅍杌杁䡁䅣兙穂䍁䅁杚療䡁䅕杢歂䝁䅕䅚杁䝁䅫杢杁䑁䅅䅏㕁䑁䅅䅉桂䝁䄴䅚杁䝁䅫督杁䝁䅧党桂䝁䅑兣ㅂ䝁䅅杣あ䝁䅕杣求䝁䅑䅉灂䝁䄴䅉啂䝁䅧睢祂䝁䄴䅤療䝁䄴䅌杁䕁䅍睢獂䝁䄸杣桂䝁䅑睢畁䅁䅁睲䅅䡁䉷䅁䵁䅉䅅䅁䑁䅁䅁睁䵁䅁䅁权晃䅁䅁权乂䅁䅁允䅁䅁䅅䅁䭁䱁䄸䅁䵁䅉䅅䅁䑁䅁䅁睁䵁䅁䅁权牃䅁䅁权䵃䅁䅁允䅁䅁䅅䅁䭁䭁䉫䅁䵁䅉䅅䅁䑁䅁䅁睁䵁䅁䅁权祃䅁䅁权䵃䅁䅁允䅁䅁䅅䅁䭁䭁䉯䅁䵁䅉䅅䅁䑁䅁䅁睁䵁䅁䅁权⭂䅁䅁权乂䅁䅁允䅁䅁䅅䅁䭁䡁䄸䅁䵁䅉䅅䅁䝁䅁䅁睁䵁䅁䅁权坂䅁䅁权䡂䅁䅁权婂䅁䅁兂䅁䅁䅁䠴洯䅑䅯䅗䅁䅁䅅䅁䉁䅁䅁兂䵂䌳䥱捧䉹䅑杷允䅁䅁䅍䅁䑁䅁䅷䅁䭁䥁䅉䅁䭁䥁䅷䅁䉁䅁䅁允䅁䅁䅯䅲䅅䅁杷允䅁䅁䅍䅁䑁䅁䅷䅁䭁䝁䄰䅁䭁䕁䄰䅁䉁䅁䅁允䅁䅁䅯来䅁䅁杷允䅁䅁䅙䅁䑁䅁䅷䅁䭁䭁䄸䅁䭁䙁䅕䅁䭁䙁䅅䅁䙁䅁䅁䅁杄⭦䅚权奂䅁䅁允䅁䅁䅅䅁䙁䙁杹か㈷䙲䅰䍄䉁䅁䅁睁䅁䅁䅍䅄䅁䅁䅯䅧䅁䅁䅯兔䅁䅁䅅䅁䉁䅁䅁权䉃䅁䅁䍄䉁䅁䅁兂䅁䅁䅍䅄䅁䅁䅯睳䅁䅁䅯允䅁䅁䅕䅁䅁䍁䅃欵䭁䙁䅧䅁䉁䅁䅁允䅁䅁䅕噘浑䥚䕖ば䵁䅉䅅䅁䑁䅁䅁睁䵁䅁䅁权畃䅁䅁权䵃䅁䅁允䅁䅁䅅䅁䭁䩁䉫䅁䵁䅉䅅䅁䝁䅁䅁睁䵁䅁䅁权祃䅁䅁权潂䅁䅁权婂䅁䅁兂䅁䅁䅁䠴洯䅑䅯䅗䅁䅁䅅䅁䉁䅁䅁兂䙁猷䝸㝘湰䅑杷允䅁䅁䅙䅁䑁䅁䅷䅁䭁䝁䅳䅁䭁䙁䅕䅁䭁䙁䅅䅁䙁䅁䅁䅁杄⭦䅚权奂䅁䅁允䅁䅁䅅䅁䙁佁奧䱫⬱㕶䅎䍄䉁䅁䅁睁䅁䅁䅍䅄䅁䅁䅯睱䅁䅁䅯兔䅁䅁䅅䅁䉁䅁䅁权⭃䅁䅁䍄䉁䅁䅁杂䅁䅁䅍䅄䅁䅁䅯睱䅁䅁䅯睒䅁䅁䅯兗䅁䅁䅕䅁䅁佁⽂欵䭁䙁䅧䅁䉁䅁䅁允䅁䅁䅕琸㍂㝴䕉䵊䵁䅉䅅䅁䙁䅁䅁睁䵁䅁䅁权牃䅁䅁权䉁䅁䅁兂䅁䅁䅁䠴洯䅑䅯䅗䅁䅁䅅䅁䉁䅁䅁兂䅁㡎䱨楊㕹䅑杷允䅁䅁䅍䅁䑁䅁䅷䅁䭁䱁䅕䅁䭁䕁䄰䅁䉁䅁䅁允䅁䅁䅯䅶䅁䅁杷允䅁䅁䅙䅁䑁䅁䅷䅁䭁䱁䅕䅁䭁䕁䅯䅁䙁䅁䅁䅁杄⭦䅚兂䅁䅁䅁䠴洯䅑䅯䅗䅁䅁䅅䅁䉁䅁䅁兂穂啮慚畷渶䅑杷允䅁䅁䅙䅁䑁䅁䅷䅁䭁䱁䅕䅁䭁䙁䅕䅁䭁䙁䅅䅁䙁䅁䅁䅁杁佧䅚权奂䅁䅁允䅁䅁䅅䅁䙁䍁搯䅊䉡㍴䅨䍄䉁䅁䅁睁䅁䅁䅍䅄䅁䅁䅯睡䅁䅁䅯䅪䅁䅁䅅䅁䉁䅁䅁权瑃允䅁䍄䉁䅁䅁杂䅁䅁䅍䅄䅁䅁䅯睳䅁䅁䅯杓䅁䅁䅕䅁䅁佁⽂欵䙁䅁䅁䅁杄⭦䅚权奂䅁䅁允䅁䅁䅅䅁䙁䭁㍷契嘫䭵䅸䍄䉁䅁䅁睁䅁䅁䅍䅄䅁䅁䅯杦䅁䅁䅯䅪䅁䅁䅅䅁䉁䅁䅁权晃允䅁䍄䉁䅁䅁杂䅁䅁䅍䅄䅁䅁䅯䅧䅁䅁䅯兖䅁䅁䅯兕䅁䅁䅕䅁䅁䍁䅃欵䭁䙁䅧䅁䉁䅁䅁允䅁䅁䅕歱㤯扰猸つ䵁䅉䅅䅁䝁䅁䅁睁䵁䅁䅁权穃䅁䅁权扂䅁䅁权兂䅁䅁兂䅁䅁䅁䥉浄䅑䅯䅗䅁䅁䅅䅁䉁䅁䅁兂⽄䄱䉆汦永䅑杷允䅁䅁䅍䅁䑁䅁䅷䅁䭁䭁䄴䅁䭁䕁䄰䅁䉁䅁䅁允䅁䅁䅯其䅁䅁杷允䅁䅁䅍䅁䑁䅁䅷䅁䭁䱁䅉䅁䭁䕁䄰䅁䉁䅁䅁允䅁䅁䅯具䅁䅁杷允䅁䅁䅙䅁䑁䅁䅷䅁䭁䥁䅉䅁䭁䙁䅯䅁䭁䙁䅁䅁䙁䅁䅁䅁杁佧䅚权奂䅁䅁允䅁䅁䅅䅁䙁䕁煳㐳卓爱䅚䍄䉁䅁䅁兂䅁䅁䅍䅄䅁䅁䅯睡䅁䅁䅯杙䅁䅁䅯䅕䅁䅁䅕䅁䅁䍁䅃欵䉁䅁䅁允䅁䅁䅕案噦煉䥌啅䵁䅉䅅䅁䑁䅁䅁睁䵁䅁䅁权㉂䅁䅁权䵃䅁䅁允䅁䅁䅅䅁䭁䩁䉳䅁䵁䅉䅅䅁䝁䅁䅁睁䵁䅁䅁权ㅃ䅁䅁权噂䅁䅁权剂䅁䅁兂䅁䅁䅁䠴洯䅑䅯䅗䅁䅁䅅䅁䉁䅁䅁兂癁匳䝑执㑤䅑杷允䅁䅁䅍䅁䑁䅁䅷䅁䭁䱁䅍䅁䭁䕁䄰䅁䉁䅁䅁允䅁䅁䅯䅷䅁䅁杷允䅁䅁䅙䅁䑁䅁䅷䅁䭁䭁䅳䅁䭁䕁䄸䅁䭁䙁䅁䅁䙁䅁䅁䅁杁佧䅚权奂䅁䅁允䅁䅁䅅䅁䙁䭁穔䉡䍁婨䄹䍄䉁䅁䅁睁䅁䅁䅍䅄䅁䅁䅯睳䅁䅁䅯䅪䅁䅁䅅䅁䉁䅁䅁权湃允䅁䍄䉁䅁䅁睁䅁䅁䅍䅄䅁䅁䅯睲䅁䅁䅯兔䅁䅁䅅䅁䉁䅁䅁权歃允䅁䍄䉁䅁䅁睁䅁䅁䅍䅄䅁䅁䅯兢䅁䅁䅯䅪䅁䅁䅅䅁䉁䅁䅁权牃允䅁䍄䉁䅁䅁杂䅁䅁䅍䅄䅁䅁䅯睳䅁䅁䅯兡䅁䅁䅯兗䅁䅁䅕䅁䅁䍁䅃欵䭁䙁䅧䅁䉁䅁䅁允䅁䅁䅕䕦㕘桥ㄳ歧䵁䅉䅅䅁䑁䅁䅁睁䵁䅁䅁权䍃䅁䅁权乂䅁䅁允䅁䅁䅅䅁䭁䥁䅍䅁䵁䅉䅅䅁䑁䅁䅁睁䵁䅁䅁权㉂䅁䅁权乂䅁䅁允䅁䅁䅅䅁䭁䡁䅣䅁䵁䅉䅅䅁䑁䅁䅁睁歂䅁䅁权⭂䅁䅁权坃允䅁允䅁䅁䅅䅁䭁䩁䉣䅁䵁䅉䅅䅁䑁䅁䅁睁歂䅁䅁权ㅃ䅁䅁权坃允䅁允䅁䅁䅅䅁䭁䩁䉧䅁䵁䅉䅅䅁䙁䅁䅁睁䵁䅁䅁权祃䅁䅁权䉁䅁䅁兂䅁䅁䅁䠴洯䅑䅯䅗䅁䅁䅅䅁䉁䅁䅁兂煄ㄴ剢⽘摡䅑杷允䅁䅁䅙䅁䑁䅁䅷䅁䭁䥁䅉䅁䭁䕁䅯䅁䙁䅁䅁䅁杁佧䅚兂䅁䅁䅁䥉浄䅑䅯䅗䅁䅁䅅䅁䉁䅁䅁兂牂䡅䅗䉰⭈䅑杷允䅁䅁䅍䅁䑁䅁䅷䅁䭁䙁䅙䅁䭁䥁䅷䅁䉁䅁䅁允䅁䅁䅯杲䅅䅁杷允䅁䅁䅙䅁䑁䅁䅷䅁䭁䡁䅙䅁䭁䙁䅍䅁䭁䙁䅅䅁䙁䅁䅁䅁杄⭦䅚权奂䅁䅁允䅁䅁䅅䅁䙁䵁䑏坴䔵㑴䄹䍄䉁䅁䅁杂䅁䅁䅍䅄䅁䅁䅯杳䅁䅁䅯杓䅁䅁䅕䅁䅁佁⽂欵䙁䅁䅁䅁杄⭦䅚权奂䅁䅁允䅁䅁䅅䅁䙁䕁匰牂䙓婭䅸䍄䉁䅁䅁睁䅁䅁䅍䅄䅁䅁䅯兴䅁䅁䅯䅪䅁䅁䅅䅁䉁䅁䅁权潃允䅁䍄䉁䅁䅁睁䅁䅁䅍䅄䅁䅁䅯睮䅁䅁䅯䅪䅁䅁䅅䅁䉁䅁䅁权汃允䅁䍄䉁䅁䅁睁䅁䅁䅍䅄䅁䅁䅯睲䅁䅁䅯䅪䅁䅁䅅䅁䉁䅁䅁权浃允䅁䍄䉁䅁䅁睁䅁䅁䅍䅚䅁䅁䅯睲䅁䅁䅯杬䅅䅁䅅䅁䉁䅁䅁权塃允䅁䍄䉁䅁䅁杂䅁䅁䅍䅄䅁䅁䅯睡䅁䅁䅯兡䅁䅁䅯兗䅁䅁䅕䅁䅁佁⽂欵䭁䙁䅧䅁䉁䅁䅁允䅁䅁䅕䅁䅁䅁䥂啥䵁䅉䅅䅁䑁䅁䅁睁䵁䅁䅁权坂䅁䅁权乂䅁䅁允䅁䅁䅅䅁䭁䙁䅣䅁䵁䅉䅅䅁䑁䅁䅁睁䵁䅁䅁权䕃䅁䅁权乂䅁䅁允䅁䅁䅅䅁䭁䥁䅕䅁䵁䅉䅅䅁䝁䅁䅁睁䵁䅁䅁权瑂䅁䅁权慂䅁䅁权兂䅁䅁兂䅁䅁䅁䠴洯䅑䅯䅗䅁䅁䅅䅁䉁䅁䅁兂呁摫兕穢獒䅑杷允䅁䅁䅙䅁䑁䅁䅷䅁䭁䙁䅙䅁䭁䙁䅕䅁䭁䙁䅅䅁䙁䅁䅁䅁杁佧䅚权奂䅁䅁允䅁䅁䅅䅁䙁䥁砱⭬䅌奙䅨䍄䉁䅁䅁睁䅁䅁䅍䅄䅁䅁䅯䅨䅁䅁䅯䅪䅁䅁䅅䅁䉁䅁䅁权权允䅁䍄䉁䅁䅁杂䅁䅁䅍䅄䅁䅁䅯兢䅁䅁䅯睗䅁䅁䅯䅕䅁䅁䅕䅁䅁佁⽂欵䭁䙁䅧䅁䉁䅁䅁允䅁䅁䅕愲塄䩱啕䕕䵁䅉䅅䅁䑁䅁䅁睁䵁䅁䅁权䅃䅁䅁权䵃䅁䅁允䅁䅁䅅䅁䭁䭁䈸䅁䵁䅉䅅䅁䑁䅁䅁睁䵁䅁䅁权牂䅁䅁权乂䅁䅁允䅁䅁䅅䅁䭁䝁䅷䅁䵁䅉䅅䅁䝁䅁䅁睁䵁䅁䅁权穃䅁䅁权灂䅁䅁权婂䅁䅁兂䅁䅁䅁䠴洯䅑䅯䅗䅁䅁䅅䅁䉁䅁䅁兂㡂晒㙬晈䍗䅑杷允䅁䅁䅍䅁䑁䝁䅑䅁䭁䥁䅉䅁䭁䩁䉙䅁䉁䅁䅁允䅁䅁䅯睬䅅䅁杷允䅁䅁䅕䅁䑁䅁䅷䅁䭁䭁䄴䅁䭁䝁䅉䅁䭁䙁䅁䅁䙁䅁䅁䅁杁佧䅚允䅁䅁䅅䅁䙁䍁睊乊杂⼰⽷䍄䉁䅁䅁杂䅁䅁䅍䅄䅁䅁䅯兴䅁䅁䅯杨䅁䅁䅯兗䅁䅁䅕䅁䅁佁⽂欵䭁䙁䅧䅁䉁䅁䅁允䅁䅁䅯睭䅁䅁杷允䅁䅁䅕䅁䑁䅁䅷䅁䭁䡁䄴䅁䭁䝁䅉䅁䭁䙁䅁䅁䙁䅁䅁䅁杁佧䅚允䅁䅁䅅䅁䙁䡁牴䭙䕳砲䅸䍄䉁䅁䅁杂䅁䅁䅍䅄䅁䅁䅯杤䅁䅁䅯睗䅁䅁䅯䅕䅁䅁䅕䅁䅁䍁䅃欵䭁䙁䅧䅁䉁䅁䅁允䅁䅁䅕奘穌楫湣か䵁䅉䅅䅁䝁䅁䅁睁䵁䅁䅁权⭂䅁䅁权噂䅁䅁权剂䅁䅁兂䅁䅁䅁䥉浄䅑䅯䅗䅁䅁䅅䅁䉁䅁䅁兂穁䘯牁䘷攫䅑杷允䅁䅁䅙䅁䑁䅁䅷䅁䭁䥁䅁䅁䭁䙁䅍䅁䭁䙁䅅䅁䙁䅁䅁䅁杁佧䅚权奂䅁䅁允䅁䅁䅅䅁䙁䉁椳匴獕䱣䅖䍄䉁䅁䅁兂䅁䅁䅍䅄䅁䅁䅯兴䅁䅁䅯杙䅁䅁䅯䅕䅁䅁䅕䅁䅁佁⽂欵䉁䅁䅁允䅁䅁䅕戱ㅋ歶潧稫䴸䅉䅅䅁䝁䅁䅁睁䵁䅁䅁权牂䅁䅁权呂䅁䅁权剂䅁䅁兂䅁䅁䅁䥉浄䅑䅯䅗䅁䅁䅅䅁䉁䅁䅁兂楄晤䌲敺㝓䅑杷允䅁䅁䅕䅁䑁䅁䅷䅁䭁䱁䅉䅁䭁䅁䅅䅁䙁䅁䅁䅁杁佧䅚权奂䅁䅁允䅁䅁䅅䅁䙁䙁奅剈䙭婁䄵䍄䉁䅁䅁杂䅁䅁䅍䅄䅁䅁䅯杦䅁䅁䅯杓䅁䅁䅕䅁䅁佁⽂欵䙁䅁䅁䅁杄⭦䅚权奂䅁䅁允䅁䅁䅅䅁䙁䅁汳佥瑚佶䅂䍄䉁䅁䅁杂䅁䅁䅍䅄䅁䅁䅯睳䅁䅁䅯杗䅁䅁䅯䅕䅁䅁䅕䅁䅁佁⽂欵䭁䙁䅧䅁䉁䅁䅁允䅁䅁䅕獤睎㌱㘫䕦䵁䅉䅅䅁䝁䅁䅁睁䵁䅁䅁权㉂䅁䅁权慂䅁䅁权兂䅁䅁兂䅁䅁䅁䥉浄䅑䅯䅗䅁䅁䅅䅁䉁䅁䅁兂い汐杍䙢婤䅑杷允䅁䅁䅕䅁䑁䅁䅷䅁䭁䙁䅙䅁䭁䝁䅉䅁䭁䙁䅁䅁䙁䅁䅁䅁杁佧䅚允䅁䅁䅅䅁䙁佁湵㘯㕺剙䅎䍄䉁䅁䅁兂䅁䅁䅍䅄䅁䅁䅯睳䅁䅁䅯杙䅁䅁䅯䅕䅁䅁䅕䅁䅁䍁䅃欵䉁䅁䅁允䅁䅁䅕琯楋獐摮䐫䴸䅉䅅䅁䝁䅁䅁睁䵁䅁䅁权瑂䅁䅁权䡂䅁䅁权婂䅁䅁兂䅁䅁䅁䥉浄䅑䅯䅗䅁䅁䅅䅁䉁䅁䅁兂橃䱴⽏灢祊䅑杷允䅁䅁䅙䅁䑁䅁䅷䅁䭁䥁䅉䅁䭁䙁䅍䅁䭁䙁䅅䅁䙁䅁䅁䅁杁佧䅚权奂䅁䅁允䅁䅁䅅䅁䙁䭁䑊乍䵭散䅚䍄䉁䅁䅁杂䅁䅁䅍䅄䅁䅁䅯杳䅁䅁䅯睗䅁䅁䅯䅕䅁䅁䅕䅁䅁䍁䅃欵䭁䙁䅧䅁䉁䅁䅁允䅁䅁䅕㝫汩㕧慔歈䵁䅉䅅䅁䙁䅁䅁睁䵁䅁䅁权畃䅁䅁权楂䅁䅁权兂䅁䅁兂䅁䅁䅁䠴洯䅑䅅䅁䉁䅁䅁兂佁歔⽓牴㤷睐杷允䅁䅁䅙䅁䑁䅁䅷䅁䭁䩁䄸䅁䭁䝁䅫䅁䭁䙁䅫䅁䙁䅁䅁䅁杄⭦䅚权奂䅁䅁允䅁䅁䅅䅁䙁䙁戲瑍汸婭䅖䍄䉁䅁䅁杂䅁䅁䅍䅄䅁䅁䅯睲䅁䅁䅯杨䅁䅁䅯兗䅁䅁䅕䅁䅁佁⽂欵䭁䙁䅧䅁䉁䅁䅁允䅁䅁䅕睍橹晓ㅣじ䵁䅉䅅䅁䙁䅁䅁睁䵁䅁䅁权癃䅁䅁权楂䅁䅁权兂䅁䅁兂䅁䅁䅁䥉浄䅑䅅䅁䉁䅁䅁兂㙂敏⭹穙⭪睐杷允䅁䅁䅙䅁䑁䅁䅷䅁䭁䭁䄴䅁䭁䥁䅙䅁䭁䙁䅫䅁䙁䅁䅁䅁杁佧䅚权奂䅁䅁允䅁䅁䅅䅁䙁偁㝢䕴硄欵䅆䍄䉁䅁䅁杂䅁䅁䅍䅄䅁䅁䅯杤䅁䅁䅯睗䅁䅁䅯䅕䅁䅁䅕䅁䅁佁⽂欵䭁䙁䅧䅁䉁䅁䅁允䅁䅁䅕奘穌楫湣か䵁䅉䅅䅁䙁䅁䅁睁䵁䅁䅁权⭂䅁䅁权䉁䅁䅁兂䅁䅁䅁䥉浄䅑䅯䅗䅁䅁䅅䅁䉁䅁䅁兂䙄㡺牨敍敢䅑杷允䅁䅁䅙䅁䑁䅁䅷䅁䭁䡁䅙䅁䭁䙁䅕䅁䭁䙁䅅䅁䙁䅁䅁䅁杄⭦䅚权奂䅁䅁允䅁䅁䅅䅁䙁䱁灡畖呈ㄲ䄵䍄䉁䅁䅁兂䅁䅁䅍䅄䅁䅁䅯兴䅁䅁䅯杙䅁䅁䅯䅕䅁䅁䅕䅁䅁䍁䅃欵䉁䅁䅁允䅁䅁䅕潂煁瑢楹樫䴸䅉䅅䅁䝁䅁䅁睁䵁䅁䅁权瑂䅁䅁权偂䅁䅁权兂䅁䅁兂䅁䅁䅁䥉浄䅑䅯䅗䅁䅁䅅䅁䉁䅁䅁兂䵁䵚㐯塡噇䅑杷允䅁䅁䅙䅁䑁䅁䅷䅁䭁䡁䅙䅁䭁䕁䅯䅁䙁䅁䅁䅁杄⭦䅚兂䅁䅁䅁䠴洯䅑䅯䅗䅁䅁䅅䅁䉁䅁䅁兂睄塂灰敂楩䅑杷允䅁䅁䅙䅁䑁䅁䅷䅁䭁䥁䅉䅁䭁䥁䅙䅁䭁䙁䅫䅁䙁䅁䅁䅁杄⭦䅚权奂䅁䅁允䅁䅁䅅䅁䙁䭁浡䩳摒㑋䅊䍄䉁䅁䅁杂䅁䅁䅍䅄䅁䅁䅯兴䅁䅁䅯睕䅁䅁䅯兕䅁䅁䅕䅁䅁佁⽂欵䭁䙁䅧䅁䉁䅁䅁允䅁䅁䅕瑃橥䙣琱啴䵁䅉䅅䅁䝁䅁䅁睁䵁䅁䅁权䅃䅁䅁权䝃䅁䅁权婂䅁䅁兂䅁䅁䅁䠴洯䅑䅯䅗䅁䅁䅅䅁䉁䅁䅁兂楄夶䈱䉸乬䅑杷允䅁䅁䅙䅁䑁䅁䅷䅁䭁䭁䄴䅁䭁䙁䅯䅁䭁䙁䅁䅁䙁䅁䅁䅁杄⭦䅚权奂䅁䅁允䅁䅁䅅䅁䙁乁穘䄸即唫䅨䍄䉁䅁䅁杂䅁䅁䅍䅄䅁䅁䅯睲䅁䅁䅯睔䅁䅁䅯䅕䅁䅁䅕䅁䅁䍁䅃欵䭁䙁䅧䅁䉁䅁䅁允䅁䅁䅕㙆瑨橇㑈歨䵁䅉䅅䅁䝁䅁䅁睁䵁䅁䅁权䅃䅁䅁权䡂䅁䅁权婂䅁䅁兂䅁䅁䅁䥉浄䅑䅯䅗䅁䅁䅅䅁䉁䅁䅁兂畂橺䭗側偰䅷杷允䅁䅁䅙䅁䑁䅁䅷䅁䭁䭁䄸䅁䭁䕁䄸䅁䭁䙁䅁䅁䙁䅁䅁䅁杄⭦䅚权奂䅁䅁允䅁䅁䅅䅁䙁䉁潥剢硯䤫䅚䍄䉁䅁䅁杂䅁䅁䅍䅄䅁䅁䅯兢䅁䅁䅯睕䅁䅁䅯兕䅁䅁䅕䅁䅁䍁䅃欵䭁䙁䅧䅁䉁䅁䅁允䅁䅁䅯睭䅁䅁杷允䅁䅁䅙䅁䑁䅁䅷䅁䭁䙁䅙䅁䭁䕁䅯䅁䙁䅁䅁䅁杁佧䅚兂䅁䅁䅁䥉浄䅑䅯䅗䅁䅁䅅䅁䉁䅁䅁兂獁䴷㝄捡䜷䅑杷允䅁䅁䅙䅁䑁䅁䅷䅁䭁䥁䅉䅁䭁䙁䅕䅁䭁䙁䅅䅁䙁䅁䅁䅁杄⭦䅚权奂䅁䅁允䅁䅁䅅䅁䙁䕁佶䙘䉸㝙䅊䍄䉁䅁䅁杂䅁䅁䅍䅄䅁䅁䅯睳䅁䅁䅯睕䅁䅁䅯兕䅁䅁䅕䅁䅁佁⽂欵䭁䙁䅧䅁䉁䅁䅁允䅁䅁䅕欰即䅆䑒䕳䵁䅉䅅䅁䝁䅁䅁睁䵁䅁䅁权畃䅁䅁权噂䅁䅁权剂䅁䅁兂䅁䅁䅁䥉浄䅑䅯䅗䅁䅁䅅䅁䉁䅁䅁兂㥄攳昵佁做䅑杷允䅁䅁䅙䅁䑁䅁䅷䅁䭁䩁䄸䅁䭁䕁䅣䅁䭁䙁䅫䅁䙁䅁䅁䅁杄⭦䅚权奂䅁䅁允䅁䅁䅅䅁䙁佁⭖水穵潶䅊䍄䉁䅁䅁兂䅁䅁䅍䅄䅁䅁䅯兢䅁䅁䅯允䅁䅁䅕䅁䅁䍁䅃欵䭁䙁䅧䅁䉁䅁䅁允䅁䅁䅯睭䅁䅁杷允䅁䅁䅙䅁䑁䅁䅷䅁䭁䝁䄰䅁䭁䙁䅍䅁䭁䙁䅅䅁䙁䅁䅁䅁杄⭦䅚权奂䅁䅁允䅁䅁䅅䅁䭁䩁䅳䅁䵁䅉䅅䅁䝁䅁䅁睁䵁䅁䅁权癃䅁䅁权潂䅁䅁权婂䅁䅁兂䅁䅁䅁䠴洯䅑䅯䅗䅁䅁䅅䅁䉁䅁䅁兂噁奩椲䩮栵䅑杷允䅁䅁䅙䅁䑁䅁䅷䅁䭁䭁䅳䅁䭁䝁䅧䅁䭁䙁䅫䅁䙁䅁䅁䅁杁佧䅚权奂䅁䅁允䅁䅁䅅䅁䙁䉁ㅓ䱎䍤奙䅎䍄䉁䅁䅁杂䅁䅁䅍䅄䅁䅁䅯睱䅁䅁䅯睕䅁䅁䅯兕䅁䅁䅕䅁䅁䍁䅃欵䭁䙁䅧䅁䉁䅁䅁允䅁䅁䅕㝭潚㠵䅑䕯䵁䅉䅅䅁䑁䅁䅁睁歂䅁䅁权穃䅁䅁权坃允䅁允䅁䅁䅅䅁䭁䩁䉣䅁䵁䅉䅅䅁䝁䅁䅁睁䵁䅁䅁权䍃䅁䅁权潂䅁䅁权婂䅁䅁兂䅁䅁䅁䥉浄䅑䅯䅗䅁䅁䅅䅁䉁䅁䅁兂㙂䭴⭐穫䉄䅑杷允䅁䅁䅙䅁䑁䅁䅷䅁䭁䥁䅉䅁䭁䝁䅧䅁䭁䙁䅫䅁䙁䅁䅁䅁杄⭦䅚权奂䅁䅁允䅁䅁䅅䅁䙁䡁ぱ⽯吶䵍䅆䍄䉁䅁䅁杂䅁䅁䅍䅄䅁䅁䅯睮䅁䅁䅯杓䅁䅁䅕䅁䅁䍁䅃欵䙁䅁䅁䅁杁佧䅚权奂䅁䅁允䅁䅁䅅䅁䙁䑁こ䕨氳瑙䅊䍄䉁䅁䅁杂䅁䅁䅍䅄䅁䅁䅯杳䅁䅁䅯杗䅁䅁䅯䅕䅁䅁䅕䅁䅁佁⽂欵䭁䙁䅧䅁䉁䅁䅁允䅁䅁䅕噮潵硸⽭す䵁䅉䅅䅁䝁䅁䅁睁䵁䅁䅁权ㅃ䅁䅁权潂䅁䅁权婂䅁䅁兂䅁䅁䅁䥉浄䅑䅯䅗䅁䅁䅅䅁䉁䅁䅁兂穁積積積⭴䅑杷允䅁䅁䅙䅁䑁䅁䅷䅁䭁䩁䄸䅁䭁䝁䅫䅁䭁䙁䅫䅁䙁䅁䅁䅁杁佧䅚权奂䅁䅁允䅁䅁䅅䅁䙁䙁戲瑍汸婭䅖䍄䉁䅁䅁杂䅁䅁䅍䅄䅁䅁䅯杦䅁䅁䅯睔䅁䅁䅯䅕䅁䅁䅕䅁䅁佁⽂欵䭁䙁䅧䅁䉁䅁䅁允䅁䅁䅕敳娷ㅙ䑓〰䵁䅉䅅䅁䝁䅁䅁睁䵁䅁䅁权畃䅁䅁权呂䅁䅁权剂䅁䅁兂䅁䅁䅁䠴洯䅑䅯䅗䅁䅁䅅䅁䉁䅁䅁兂䡂坭䩓㑷䥩䅑杷允䅁䅁䅙䅁䑁䅁䅷䅁䭁䥁䅁䅁䭁䙁䅳䅁䭁䙁䅁䅁䙁䅁䅁䅁杁佧䅚权奂䅁䅁允䅁䅁䅅䅁䙁䝁併匷䍣穲䅬䍄䉁䅁䅁兂䅁䅁䅍䅄䅁䅁䅯睲䅁䅁䅯允䅁䅁䅕䅁䅁佁⽂欵䭁䙁䅧䅁䉁䅁䅁允䅁䅁䅕䰳奓〸䝲䕫䵁䅉䅅䅁䝁䅁䅁睁䵁䅁䅁权癃䅁䅁权慂䅁䅁权兂䅁䅁兂䅁䅁䅁䥉浄䅑䅯䅗䅁䅁䅅䅁䉁䅁䅁兂噂丸䱩㔷捰䅑杷允䅁䅁䅙䅁䑁䅁䅷䅁䭁䡁䅙䅁䭁䙁䅯䅁䭁䙁䅁䅁䙁䅁䅁䅁杄⭦䅚权奂䅁䅁允䅁䅁䅅䅁䙁偁⭑祕獂ㅖ䅬䍄䉁䅁䅁兂䅁䅁䅍䅄䅁䅁䅯睮䅁䅁䅯杙䅁䅁䅯䅕䅁䅁䅕䅁䅁佁⽂欵䉁䅁䅁允䅁䅁䅕倱奇捧奯歇䵁䅉䅅䅁䙁䅁䅁睁䵁䅁䅁权牃䅁䅁权䉁䅁䅁兂䅁䅁䅁䥉浄䅑䅯䅗䅁䅁䅅䅁䉁䅁䅁兂䥄䵶婥⭺㐶䅑杷允䅁䅁䅙䅁䑁䅁䅷䅁䭁䡁䅙䅁䭁䝁䅧䅁䭁䙁䅫䅁䙁䅁䅁䅁杄⭦䅚权奂䅁䅁允䅁䅁䅅䅁䙁䙁牅匸㕘汸䅤䍄䉁䅁䅁杂䅁䅁䅍䅄䅁䅁䅯睡䅁䅁䅯睕䅁䅁䅯兕䅁䅁䅕䅁䅁佁⽂欵䭁䙁䅧䅁䉁䅁䅁允䅁䅁䅕䱸䙚扭刳ふ䵁䅉䅅䅁䝁䅁䅁睁䵁䅁䅁权牃䅁䅁权慂䅁䅁权兂䅁䅁兂䅁䅁䅁䥉浄䅑䅯䅗䅁䅁䅅䅁䉁䅁䅁兂㉂䤶䉎潅㠹䅑杷允䅁䅁䅙䅁䑁䅁䅷䅁䭁䱁䅉䅁䭁䝁䅧䅁䭁䙁䅫䅁䙁䅁䅁䅁杁佧䅚权奂䅁䅁允䅁䅁䅅䅁䙁䅁畘䕺晚浵䅤䍄䉁䅁䅁杂䅁䅁䅍䅄䅁䅁䅯杧䅁䅁䅯杨䅁䅁䅯兗䅁䅁䅕䅁䅁䍁䅃欵䭁䙁䅧䅁䉁䅁䅁允䅁䅁䅕煰睡䙬爰歧䵁䅉䅅䅁䝁䅁䅁睁䵁䅁䅁权畃䅁䅁权潂䅁䅁权婂䅁䅁兂䅁䅁䅁䠴洯䅑䅯䅗䅁䅁䅅䅁䉁䅁䅁兂汁㈲嘳坐摚䅑杷允䅁䅁䅍䅁䑁䝁䅑䅁䭁䭁䄴䅁䭁䩁䉙䅁䉁䅁䅁允䅁䅁䅯睬䅅䅁杷允䅁䅁䅙䅁䑁䅁䅷䅁䭁䥁䅉䅁䭁䙁䅯䅁䭁䙁䅁䅁䙁䅁䅁䅁杄⭦䅚权奂䅁䅁允䅁䅁䅅䅁䙁䕁煳㐳卓爱䅚䍄䉁䅁䅁兂䅁䅁䅍䅄䅁䅁䅯䅧䅁䅁䅯杙䅁䅁䅯䅕䅁䅁䅕䅁䅁佁⽂欵䉁䅁䅁允䅁䅁䅕祁䙕獆歂ぇ䵁䅉䅅䅁䝁䅁䅁睁䵁䅁䅁权癃䅁䅁权扂䅁䅁权兂䅁䅁兂䅁䅁䅁䥉浄䅑䅯䅗䅁䅁䅅䅁䉁䅁䅁兂癁儫捓卬睷䅑杷允䅁䅁䅙䅁䑁䅁䅷䅁䭁䱁䅍䅁䭁䙁䅳䅁䭁䙁䅁䅁䙁䅁䅁䅁杄⭦䅚权奂䅁䅁允䅁䅁䅅䅁䙁偁唯啁⭆祘䅖䍄䉁䅁䅁兂䅁䅁䅍䅄䅁䅁䅯睮䅁䅁䅯允䅁䅁䅕䅁䅁䍁䅃欵䭁䙁䅧䅁䉁䅁䅁允䅁䅁䅕婖睏剦䝮唰䵁䅉䅅䅁䝁䅁䅁睁䵁䅁䅁权畃䅁䅁权䭂䅁䅁兂䅁䅁䅁䥉浄䅑䅕䅁䅁䍁䅃欵䭁䙁䅧䅁䉁䅁䅁允䅁䅁䅕䭨但㙅塍啧䵁䅉䅅䅁䝁䅁䅁睁䵁䅁䅁权⭂䅁䅁权扂䅁䅁权兂䅁䅁兂䅁䅁䅁䠴洯䅑䅯䅗䅁䅁䅅䅁䉁䅁䅁兂偃汑䩏汯匶䅑杷允䅁䅁䅙䅁䑁䅁䅷䅁䭁䱁䅍䅁䭁䕁䅣䅁䭁䙁䅫䅁䙁䅁䅁䅁杄⭦䅚权奂䅁䅁允䅁䅁䅅䅁䙁偁佥歮坶奭䅒䍄䉁䅁䅁杂䅁䅁䅍䅄䅁䅁䅯杖䅁䅁䅯兡䅁䅁䅯兗䅁䅁䅕䅁䅁䍁䅃欵䭁䙁䅧䅁䉁䅁䅁允䅁䅁䅕摒婐敹硄歨䵁䅉䅅䅁䝁䅁䅁睁䵁䅁䅁权㉂䅁䅁权灂䅁䅁权婂䅁䅁兂䅁䅁䅁䥉浄䅑䅯䅗䅁䅁䅅䅁䉁䅁䅁兂捄佔硁㕬圹䅑杷允䅁䅁䅕䅁䑁䅁䅷䅁䭁䭁䅳䅁䭁䝁䅉䅁䭁䙁䅁䅁䙁䅁䅁䅁杁佧䅚允䅁䅁䅅䅁䙁䝁漲佇癤桙䅊䍄䉁䅁䅁兂䅁䅁䅍䅄䅁䅁䅯睮䅁䅁䅯杙䅁䅁䅯䅕䅁䅁䅕䅁䅁䍁䅃欵䉁䅁䅁允䅁䅁䅕ㅨ㝊坅㌳啇䵁䅉䅅䅁䝁䅁䅁睁䵁䅁䅁权晃䅁䅁权偂䅁䅁权兂䅁䅁兂䅁䅁䅁䥉浄䅑䅯䅗䅁䅁䅅䅁䉁䅁䅁兂十䙊䝖䙓睇䅑杷允䅁䅁䅙䅁䑁䅁䅷䅁䭁䱁䅕䅁䭁䕁䄸䅁䭁䙁䅁䅁䙁䅁䅁䅁杁佧䅚权奂䅁䅁允䅁䅁䅅䅁䙁䅁䅁䅁䅃扉䅊䍄䉁䅁䅁杂䅁䅁䅍䅄䅁䅁䅯睡䅁䅁䅯兡䅁䅁䅯兗䅁䅁䅕䅁䅁䍁䅃欵䭁䙁䅧䅁䉁䅁䅁允䅁䅁䅕䅁䅁䅁䥂啥䵁䅉䅅䅁䝁䅁䅁睁䵁䅁䅁权瑂䅁䅁权灂䅁䅁权婂䅁䅁兂䅁䅁䅁䥉浄䅑䅯䅗䅁䅁䅅䅁䉁䅁䅁兂瑃ㅭ偲⭣䭊䅑杷允䅁䅁䅍䅁䑁䝁䅑䅁䭁䭁䅳䅁䭁䩁䉙䅁䉁䅁䅁允䅁䅁䅯睬䅅䅁杷允䅁䅁䅙䅁䑁䅁䅷䅁䭁䭁䄸䅁䭁䙁䅍䅁䭁䙁䅅䅁䙁䅁䅁䅁杁佧䅚权奂䅁䅁允䅁䅁䅅䅁䙁䱁捑獔慘䥙䅤䍄䉁䅁䅁睁䅁䅁䅍䅚䅁䅁䅯睡䅁䅁䅯杬䅅䅁䅅䅁䉁䅁䅁权奃允䅁䍄䉁䅁䅁兂䅁䅁䅍䅄䅁䅁䅯睲䅁䅁䅯允䅁䅁䅕䅁䅁䍁䅃欵䭁䙁䅧䅁䉁䅁䅁允䅁䅁䅕煅汚䑁䡘な䵁䅉䅅䅁䝁䅁䅁睁䵁䅁䅁权⭂䅁䅁权䝃䅁䅁权婂䅁䅁兂䅁䅁䅁䥉浄䅑䅯䅗䅁䅁䅅䅁䉁䅁䅁兂䑄㉄㥴砰䕋䅑杷允䅁䅁䅕䅁䑁䅁䅷䅁䭁䡁䅙䅁䭁䅁䅅䅁䙁䅁䅁䅁杄⭦䅚权奂䅁䅁允䅁䅁䅅䅁䙁䅁婹䡙単焳䅊䍄䉁䅁䅁杂䅁䅁䅍䅄䅁䅁䅯兴䅁䅁䅯杨䅁䅁䅯兗䅁䅁䅕䅁䅁䍁䅃欵䭁䙁䅧䅁䉁䅁䅁允䅁䅁䅯睭䅁䅁杷允䅁䅁䅍䅁䑁䝁䅑䅁䭁䩁䄸䅁䭁䩁䉙䅁䉁䅁䅁允䅁䅁䅯睬䅅䅁杷允䅁䅁䅍䅁䑁䝁䅑䅁䭁䱁䅉䅁䭁䩁䉙䅁䉁䅁䅁允䅁䅁䅯睬䅅䅁杷允䅁䅁䅙䅁䑁䅁䅷䅁䭁䡁䅙䅁䭁䕁䅣䅁䭁䙁䅫䅁䙁䅁䅁䅁杄⭦䅚权奂䅁䅁允䅁䅁䅅䅁䙁䕁湲啄晅桤䅊䍄䉁䅁䅁兂䅁䅁䅍䅄䅁䅁䅯兢䅁䅁䅯杙䅁䅁䅯䅕䅁䅁䅕䅁䅁䍁䅃欵䉁䅁䅁允䅁䅁䅯睭䅁䅁杷允䅁䅁䅙䅁䑁䅁䅷䅁䭁䱁䅍䅁䭁</t>
  </si>
  <si>
    <t>䝁䅧䅁䭁䙁䅫䅁䙁䅁䅁䅁杁佧䅚权奂䅁䅁允䅁䅁䅅䅁䙁䑁煮⭓㕎㕸䅎䍄䉁䅁䅁兂䅁䅁䅍䅄䅁䅁䅯杳䅁䅁䅯杙䅁䅁䅯䅕䅁䅁䅕䅁䅁䍁䅃欵䉁䅁䅁允䅁䅁䅕⽋塡娳䡍歂䵁䅉䅅䅁䝁䅁䅁睁䵁䅁䅁权䅃䅁䅁权潂䅁䅁权婂䅁䅁兂䅁䅁䅁䥉浄䅑䅯䅗䅁䅁䅅䅁䉁䅁䅁兂獃手奬㝩栱䅑杷允䅁䅁䅙䅁䑁䅁䅷䅁䭁䱁䅉䅁䭁䙁䅍䅁䭁䙁䅅䅁䙁䅁䅁䅁杄⭦䅚权奂䅁䅁允䅁䅁䅅䅁䙁䕁⭭獶奚㑭䅸䍄䉁䅁䅁杂䅁䅁䅍䅄䅁䅁䅯兢䅁䅁䅯兡䅁䅁䅯兗䅁䅁䅕䅁䅁佁⽂欵䭁䙁䅧䅁䉁䅁䅁允䅁䅁䅕婲慴㍺楐歓䵁䅉䅅䅁䝁䅁䅁睁䵁䅁䅁权牃䅁䅁权潂䅁䅁权婂䅁䅁兂䅁䅁䅁䠴洯䅑䅯䅗䅁䅁䅅䅁䉁䅁䅁兂啁呴㍓浑䑇䅑杷允䅁䅁䅙䅁䑁䅁䅷䅁䭁䱁䅍䅁䭁䙁䅕䅁䭁䙁䅅䅁䙁䅁䅁䅁杁佧䅚权奂䅁䅁允䅁䅁䅅䅁䙁佁㑬㍓䑯湨䄵䍄䉁䅁䅁杂䅁䅁䅍䅄䅁䅁䅯睳䅁䅁䅯睔䅁䅁䅯䅕䅁䅁䅕䅁䅁䍁䅃欵䭁䙁䅧䅁䉁䅁䅁允䅁䅁䅕䵱㔵桌偉ひ䵁䅉䅅䅁䑁䅁䅁睁歂䅁䅁权㉂䅁䅁权坃允䅁允䅁䅁䅅䅁䭁䩁䉣䅁䵁䅉䅅䅁䝁䅁䅁睁䵁䅁䅁权⭂䅁䅁权呂䅁䅁权剂䅁䅁兂䅁䅁䅁䠴洯䅑䅯䅗䅁䅁䅅䅁䉁䅁䅁兂奂⽄ざ癧啢䅑杷允䅁䅁䅙䅁䑁䅁䅷䅁䭁䭁䄴䅁䭁䙁䅳䅁䭁䙁䅁䅁䙁䅁䅁䅁杁佧䅚权奂䅁䅁允䅁䅁䅅䅁䙁䑁捒䝕奴先䄹䍄䉁䅁䅁杂䅁䅁䅍䅄䅁䅁䅯兴䅁䅁䅯杗䅁䅁䅯䅕䅁䅁䅕䅁䅁䍁䅃欵䭁䙁䅧䅁䉁䅁䅁允䅁䅁䅕㉚浚浚坢䕤䵁䅉䅅䅁䙁䅁䅁睁䵁䅁䅁权㉂䅁䅁权楂䅁䅁权兂䅁䅁兂䅁䅁䅁䥉浄䅑䅅䅁䉁䅁䅁兂求稯乷䕇剑䅑杷允䅁䅁䅍䅁䑁䝁䅑䅁䭁䝁䄰䅁䭁䩁䉙䅁䉁䅁䅁允䅁䅁䅯光䅁䅁杷允䅁䅁䅙䅁䑁䅁䅷䅁䭁䙁䅙䅁䭁䥁䅙䅁䭁䙁䅫䅁䙁䅁䅁䅁杄⭦䅚权奂䅁䅁允䅁䅁䅅䅁䙁䩁坋瑹剳䥮䅒䍄䉁䅁䅁杂䅁䅁䅍䅄䅁䅁䅯杖䅁䅁䅯睕䅁䅁䅯兕䅁䅁䅕䅁䅁佁⽂欵䭁䙁䅧䅁䉁䅁䅁允䅁䅁䅕兄祁䭁楗啸䵁䅉䅅䅁䝁䅁䅁睁䵁䅁䅁权晃䅁䅁权潂䅁䅁权婂䅁䅁兂䅁䅁䅁䥉浄䅑䅯䅗䅁䅁䅅䅁䉁䅁䅁兂兄椲䭏⽶敩䅑杷允䅁䅁䅙䅁䑁䅁䅷䅁䭁䙁䅙䅁䭁䕁䄸䅁䭁䙁䅁䅁䙁䅁䅁䅁杁佧䅚权奂䅁䅁允䅁䅁䅅䅁䙁乁橂电㥖䵲䅒䍄䉁䅁䅁杂䅁䅁䅍䅄䅁䅁䅯兴䅁䅁䅯睕䅁䅁䅯兕䅁䅁䅕䅁䅁䍁䅃欵䭁䙁䅧䅁䉁䅁䅁允䅁䅁䅕瑃橥䙣琱啴䵁䅉䅅䅁䝁䅁䅁睁䵁䅁䅁权瑂䅁䅁权噂䅁䅁权剂䅁䅁兂䅁䅁䅁䥉浄䅑䅯䅗䅁䅁䅅䅁䉁䅁䅁权扃䅁䅁䍄䉁䅁䅁杂䅁䅁䅍䅄䅁䅁䅯睱䅁䅁䅯兡䅁䅁䅯兗䅁䅁䅕䅁䅁䍁䅃欵䭁䙁䅧䅁䉁䅁䅁允䅁䅁䅕㕖卑汧硗で䵁䅉䅅䅁䝁䅁䅁睁䵁䅁䅁权穃䅁䅁权䝃䅁䅁权婂䅁䅁兂䅁䅁䅁䥉浄䅑䅯䅗䅁䅁䅅䅁䉁䅁䅁兂䑄漸楷䑅獂䅑杷允䅁䅁䅙䅁䑁䅁䅷䅁䭁䩁䄸䅁䭁䕁䅣䅁䭁䙁䅫䅁䙁䅁䅁䅁杁佧䅚权奂䅁䅁允䅁䅁䅅䅁䙁佁⭖水穵潶䅊䍄䉁䅁䅁杂䅁䅁䅍䅄䅁䅁䅯睮䅁䅁䅯杨䅁䅁䅯兗䅁䅁䅕䅁䅁䍁䅃欵䭁䙁䅧䅁䉁䅁䅁允䅁䅁䅯睭䅁䅁杷允䅁䅁䅙䅁䑁䅁䅷䅁䭁䩁䄸䅁䭁䙁䅍䅁䭁䙁䅅䅁䙁䅁䅁䅁杁佧䅚权奂䅁䅁允䅁䅁䅅䅁䙁䙁慐ㅴ⭊戸䅆䍄䉁䅁䅁兂䅁䅁䅍䅄䅁䅁䅯杖䅁䅁䅯杙䅁䅁䅯䅕䅁䅁䅕䅁䅁佁⽂欵䉁䅁䅁允䅁䅁䅕ぺ䜴㡒䱭ぅ䵁䅉䅅䅁䝁䅁䅁睁䵁䅁䅁权晃䅁䅁权慂䅁䅁权兂䅁䅁兂䅁䅁䅁䥉浄䅑䅯䅗䅁䅁䅅䅁䉁䅁䅁兂瑁㤯ㅉ䘱唫䅑杷允䅁䅁䅙䅁䑁䅁䅷䅁䭁䭁䄸䅁䭁䝁䅫䅁䭁䙁䅫䅁䙁䅁䅁䅁杄⭦䅚权奂䅁䅁允䅁䅁䅅䅁䙁䍁楢獓ね朷䅨䍄䉁䅁䅁杂䅁䅁䅍䅄䅁䅁䅯睮䅁䅁䅯睗䅁䅁䅯䅕䅁䅁䅕䅁䅁䍁䅃欵䭁䙁䅧䅁䉁䅁䅁允䅁䅁䅕塑灕坍塌け䵁䅉䅅䅁䝁䅁䅁睁䵁䅁䅁权晃䅁䅁权噂䅁䅁权剂䅁䅁兂䅁䅁䅁䥉浄䅑䅯䅗䅁䅁䅅䅁䉁䅁䅁兂あ硩䵍䍯坃䅑杷允䅁䅁䅙䅁䑁䅁䅷䅁䭁䩁䄸䅁䭁䙁䅕䅁䭁䙁䅅䅁䙁䅁䅁䅁杄⭦䅚权奂䅁䅁允䅁䅁䅅䅁䙁䡁䱓睅杹䩉䅚䍄䉁䅁䅁杂䅁䅁䅍䅄䅁䅁䅯睳䅁䅁䅯杓䅁䅁䅕䅁䅁䍁䅃欵䙁䅁䅁䅁杁佧䅚权奂䅁䅁允䅁䅁䅅䅁䙁䕁䥁䕺䍲㙚䅸䍄䉁䅁䅁杂䅁䅁䅍䅄䅁䅁䅯睮䅁䅁䅯杗䅁䅁䅯䅕䅁䅁䅕䅁䅁佁⽂欵䭁䙁䅧䅁䉁䅁䅁允䅁䅁䅕晌匯摎晒䕬䵁䅉䅅䅁䝁䅁䅁睁䵁䅁䅁权穃䅁䅁权慂䅁䅁权兂䅁䅁兂䅁䅁䅁䥉浄䅑䅯䅗䅁䅁䅅䅁䉁䅁䅁兂㉂㍷塄㝦㡰䅑杷允䅁䅁䅙䅁䑁䅁䅷䅁䭁䝁䄰䅁䭁䝁䅧䅁䭁䙁䅫䅁䙁䅁䅁䅁杁佧䅚权奂䅁䅁允䅁䅁䅅䅁䙁䉁䥫穮㥭渷䅖䍄䉁䅁䅁杂䅁䅁䅍䅄䅁䅁䅯睱䅁䅁䅯杨䅁䅁䅯兗䅁䅁䅕䅁䅁䍁䅃欵䭁䙁䅧䅁䉁䅁䅁允䅁䅁䅯睭䅁䅁杷允䅁䅁䅙䅁䑁䅁䅷䅁䭁䱁䅍䅁䭁䕁䄸䅁䭁䙁䅁䅁䙁䅁䅁䅁杄⭦䅚权奂䅁䅁允䅁䅁䅅䅁䙁䭁佪卥匴㙄䄹䍄䉁䅁䅁杂䅁䅁䅍䅄䅁䅁䅯睱䅁䅁䅯睒䅁䅁䅯兗䅁䅁䅕䅁䅁䍁䅃欵䭁䙁䅧䅁䉁䅁䅁允䅁䅁䅕琸㍂㝴䕉䵊䵁䅉䅅䅁䝁䅁䅁睁䵁䅁䅁权牃䅁䅁权䭂䅁䅁兂䅁䅁䅁䥉浄䅑䅕䅁䅁䍁䅃欵䭁䙁䅧䅁䉁䅁䅁允䅁䅁䅕癊䡥乌歶䕵䵁䅉䅅䅁䝁䅁䅁睁䵁䅁䅁权穃䅁䅁权呂䅁䅁权剂䅁䅁兂䅁䅁䅁䥉浄䅑䅯䅗䅁䅁䅅䅁䉁䅁䅁兂卄硓啉䕂睏䅑杷允䅁䅁䅙䅁䑁䅁䅷䅁䭁䥁䅁䅁䭁䕁䅯䅁䙁䅁䅁䅁杄⭦䅚兂䅁䅁䅁䠴洯䅑䅯䅗䅁䅁䅅䅁䉁䅁䅁兂瑁慍器䜹㉃䅑杷允䅁䅁䅙䅁䑁䅁䅷䅁䭁䭁䅳䅁䭁䙁䅳䅁䭁䙁䅁䅁䙁䅁䅁䅁杁佧䅚权奂䅁䅁允䅁䅁䅅䅁䭁䩁䅳䅁䵁䅉䅅䅁䝁䅁䅁睁䵁䅁䅁权牃䅁䅁权噂䅁䅁权剂䅁䅁兂䅁䅁䅁䥉浄䅑䅯䅗䅁䅁䅅䅁䉁䅁䅁兂ㅁ歆乄桭⼱䅑杷允䅁䅁䅙䅁䑁䅁䅷䅁䭁䭁䄴䅁䭁䕁䅣䅁䭁䙁䅫䅁䙁䅁䅁䅁杁佧䅚权奂䅁䅁允䅁䅁䅅䅁䙁䑁乪穰捏噌䅸䍄䉁䅁䅁杂䅁䅁䅍䅄䅁䅁䅯睳䅁䅁䅯睒䅁䅁䅯兗䅁䅁䅕䅁䅁䍁䅃欵䭁䙁䅧䅁䉁䅁䅁允䅁䅁䅕㐹收㥓婡䕨䵁䅉䅅䅁䙁䅁䅁睁䵁䅁䅁权ㅃ䅁䅁权䉁䅁䅁兂䅁䅁䅁䥉浄䅑䅯䅗䅁䅁䅅䅁䉁䅁䅁兂婂琫䙁慊歗䅑杷允䅁䅁䅙䅁䑁䅁䅷䅁䭁䥁䅁䅁䭁䕁䅯䅁䙁䅁䅁䅁杁佧䅚兂䅁䅁䅁䥉浄䅑䅯䅗䅁䅁䅅䅁䉁䅁䅁兂坄含穷剑㉭䅑杷允䅁䅁䅙䅁䑁䅁䅷䅁䭁䡁䅙䅁䭁䝁䅧䅁䭁䙁䅫䅁䙁䅁䅁䅁杁佧䅚权奂䅁䅁允䅁䅁䅅䅁䙁䙁牅匸㕘汸䅤䍄䉁䅁䅁杂䅁䅁䅍䅄䅁䅁䅯兴䅁䅁䅯兡䅁䅁䅯兗䅁䅁䅕䅁䅁䍁䅃欵䭁䙁䅧䅁䉁䅁䅁允䅁䅁䅕㉚浚浚浡䕘䵁䅉䅅䅁䝁䅁䅁睁䵁䅁䅁权ㅃ䅁䅁权䡂䅁䅁权婂䅁䅁兂䅁䅁䅁䥉浄䅑䅯䅗䅁䅁䅅䅁䉁䅁䅁兂慃婭婭剭㍆䅑杷允䅁䅁䅙䅁䑁䅁䅷䅁䭁䱁䅕䅁䭁䕁䅯䅁䙁䅁䅁䅁杁佧䅚兂䅁䅁䅁䥉浄䅑䅯䅗䅁䅁䅅䅁䉁䅁䅁兂䵃兌㕑䥗湥䅑杷允䅁䅁䅕䅁䑁䅁䅷䅁䭁䡁䅙䅁䭁䝁䅉䅁䭁䙁䅁䅁䙁䅁䅁䅁杄⭦䅚允䅁䅁䅅䅁䙁䍁坺䩣㝆桋䅤䍄䉁䅁䅁杂䅁䅁䅍䅄䅁䅁䅯兢䅁䅁䅯䅡䅁䅁䅯兗䅁䅁䅕䅁䅁佁⽂欵䭁䙁䅧䅁䉁䅁䅁允䅁䅁䅕兇晩扏申啤䵁䅉䅅䅁䝁䅁䅁睁䵁䅁䅁权坂䅁䅁权䡂䅁䅁权婂䅁䅁兂䅁䅁䅁䥉浄䅑䅯䅗䅁䅁䅅䅁䉁䅁䅁兂䵂䌳䥱捧䉹䅑杷允䅁䅁䅙䅁䑁䅁䅷䅁䭁䝁䄰䅁䭁䥁䅙䅁䭁䙁䅫䅁䙁䅁䅁䅁杄⭦䅚权奂䅁䅁允䅁䅁䅅䅁䙁䍁橷⽵䅐啮䅰䍄䉁䅁䅁杂䅁䅁䅍䅄䅁䅁䅯杳䅁䅁䅯睔䅁䅁䅯䅕䅁䅁䅕䅁䅁䍁䅃欵䭁䙁䅧䅁䉁䅁䅁允䅁䅁䅕䍇㙆䜲灙啪䵁䅉䅅䅁䝁䅁䅁睁䵁䅁䅁权ㅃ䅁䅁权扂䅁䅁权兂䅁䅁兂䅁䅁䅁䥉浄䅑䅯䅗䅁䅁䅅䅁䉁䅁䅁兂慃婭婭婭㝫䅑杷允䅁䅁䅙䅁䑁䅁䅷䅁䭁䡁䄴䅁䭁䕁䅣䅁䭁䙁䅫䅁䙁䅁䅁䅁杁佧䅚权奂䅁䅁允䅁䅁䅅䅁䙁䕁獅䕶㥦慶䅬䍄䉁䅁䅁杂䅁䅁䅍䅄䅁䅁䅯杳䅁䅁䅯杨䅁䅁䅯兗䅁䅁䅕䅁䅁䍁䅃欵䭁䙁䅧䅁䉁䅁䅁允䅁䅁䅕湯㡉䝎硙啐䵁䅉䅅䅁䝁䅁䅁睁䵁䅁䅁权⭂䅁䅁权灂䅁䅁权婂䅁䅁兂䅁䅁䅁䥉浄䅑䅯䅗䅁䅁䅅䅁䉁䅁䅁兂㑂瑮䡏晃䅩䅑杷允䅁䅁䅙䅁䑁䅁䅷䅁䭁䩁䄸䅁䭁䙁䅍䅁䭁䙁䅅䅁䙁䅁䅁䅁杄⭦䅚权奂䅁䅁允䅁䅁䅅䅁䙁䙁慐ㅴ⭊戸䅆䍄䉁䅁䅁杂䅁䅁䅍䅄䅁䅁䅯杳䅁䅁䅯兡䅁䅁䅯兗䅁䅁䅕䅁䅁䍁䅃欵䭁䙁䅧䅁䉁䅁䅁允䅁䅁䅕橢礸䍧畒啣䵁䅉䅅䅁䝁䅁䅁睁䵁䅁䅁权ㅃ䅁䅁权慂䅁䅁权兂䅁䅁兂䅁䅁䅁䠴洯䅑䅯䅗䅁䅁䅅䅁䉁䅁䅁兂湂浚浚瑚ず䅑杷允䅁䅁䅙䅁䑁䅁䅷䅁䭁䱁䅉䅁䭁䕁䅣䅁䭁䙁䅫䅁䙁䅁䅁䅁杁佧䅚权奂䅁䅁允䅁䅁䅅䅁䙁䭁桳㍌呐ㅑ䅢䍄䉁䅁䅁杂䅁䅁䅍䅄䅁䅁䅯兢䅁䅁䅯睗䅁䅁䅯䅕䅁䅁䅕䅁䅁䍁䅃欵䭁䙁䅧䅁䉁䅁䅁允䅁䅁䅕愲塄䩱啕䕕䵁䅉䅅䅁䝁䅁䅁睁䵁䅁䅁权祃䅁䅁权灂䅁䅁权婂䅁䅁兂䅁䅁䅁䠴洯䅑䅯䅗䅁䅁䅅䅁䉁䅁䅁兂畂穐䅋䝊砵䅑杷允䅁䅁䅙䅁䑁䅁䅷䅁䭁䱁䅉䅁䭁䕁䅯䅁䙁䅁䅁䅁杁佧䅚兂䅁䅁䅁䥉浄䅑䅯䅗䅁䅁䅅䅁䉁䅁䅁兂畃〷䑵㙹捗䅑杷允䅁䅁䅙䅁䑁䅁䅷䅁䭁䭁䄸䅁䭁䙁䅳䅁䭁䙁䅁䅁䙁䅁䅁䅁杄⭦䅚权奂䅁䅁允䅁䅁䅅䅁䙁䍁㔯䩂噹䑌䅂䍄䉁䅁䅁杂䅁䅁䅍䅄䅁䅁䅯杳䅁䅁䅯睕䅁䅁䅯兕䅁䅁䅕䅁䅁䍁䅃欵䭁䙁䅧䅁䉁䅁䅁允䅁䅁䅕打⬶汸扩䕪䵁䅉䅅䅁䝁䅁䅁睁䵁䅁䅁权祃䅁䅁权慂䅁䅁权兂䅁䅁兂䅁䅁䅁䥉浄䅑䅯䅗䅁䅁䅅䅁䉁䅁䅁兂摃㙗䡪扇樹䅑杷允䅁䅁䅙䅁䑁䅁䅷䅁䭁䙁䅙䅁䭁䙁䅍䅁䭁䙁䅅䅁䙁䅁䅁䅁杁佧䅚权奂䅁䅁允䅁䅁䅅䅁䙁佁礯坺煩䵯䅖䍄䉁䅁䅁杂䅁䅁䅍䅄䅁䅁䅯杳䅁䅁䅯兖䅁䅁䅯兕䅁䅁䅕䅁䅁䍁䅃欵䭁䙁䅧䅁䉁䅁䅁允䅁䅁䅕䅁噰䩪⭥啙䵁䅉䅅䅁䝁䅁䅁睁䵁䅁䅁权䍃䅁䅁权䡂䅁䅁权婂䅁䅁兂䅁䅁䅁䥉浄䅑䅯䅗䅁䅁䅅䅁䉁䅁䅁兂噄祅摶䅒䅐䅑杷允䅁䅁䅙䅁䑁䅁䅷䅁䭁䭁䄸䅁䭁䝁䅧䅁䭁䙁䅫䅁䙁䅁䅁䅁杁佧䅚权奂䅁䅁允䅁䅁䅅䅁䙁䉁䩗慪捋浮䅆䍄䉁䅁䅁杂䅁䅁䅍䅄䅁䅁䅯睲䅁䅁䅯杨䅁䅁䅯兗䅁䅁䅕䅁䅁䍁䅃欵䭁䙁䅧䅁䉁䅁䅁允䅁䅁䅕睍橹晓ㅣじ䵁䅉䅅䅁䝁䅁䅁睁䵁䅁䅁权䅃䅁䅁权偂䅁䅁权兂䅁䅁兂䅁䅁䅁䥉浄䅑䅯䅗䅁䅁䅅䅁䉁䅁䅁兂乄䵫湮穆穏䅑杷允䅁䅁䅙䅁䑁䅁䅷䅁䭁䭁䄸䅁䭁䝁䅫䅁䭁䙁䅫䅁䙁䅁䅁䅁杁佧䅚权奂䅁䅁允䅁䅁䅅䅁䙁䍁楢獓ね朷䅨䍄䉁䅁䅁杂䅁䅁䅍䅄䅁䅁䅯䅧䅁䅁䅯睗䅁䅁䅯䅕䅁䅁䅕䅁䅁佁⽂欵䭁䙁䅧䅁䉁䅁䅁允䅁䅁䅕㑡琷睊癋問䵁䅉䅅䅁䝁䅁䅁睁䵁䅁䅁权癃䅁䅁权䡂䅁䅁权婂䅁䅁兂䅁䅁䅁䥉浄䅑䅯䅗䅁䅁䅅䅁䉁䅁䅁兂䵃坘偪吴桰䅑杷允䅁䅁䅙䅁䑁䅁䅷䅁䭁䭁䄴䅁䭁䙁䅍䅁䭁䙁䅅䅁䙁䅁䅁䅁杁佧䅚权奂䅁䅁允䅁䅁䅅䅁䙁䕁婥䥚䑮䥩䅨䍄䉁䅁䅁杂䅁䅁䅍䅄䅁䅁䅯睲䅁䅁䅯杓䅁䅁䅕䅁䅁䍁䅃欵䙁䅁䅁䅁杁佧䅚权奂䅁䅁允䅁䅁䅅䅁䙁䥁㑺捭㍶㕂䅊䍄䉁䅁䅁兂䅁䅁䅍䅄䅁䅁䅯兢䅁䅁䅯允䅁䅁䅕䅁䅁佁⽂欵䭁䙁䅧䅁䉁䅁䅁允䅁䅁䅯睭䅁䅁杷允䅁䅁䅙䅁䑁䅁䅷䅁䭁䭁䄸䅁䭁䕁䅯䅁䙁䅁䅁䅁杄⭦䅚兂䅁䅁䅁䠴洯䅑䅯䅗䅁䅁䅅䅁䉁䅁䅁兂⭂电䉆⭢卹䅑杷允䅁䅁䅙䅁䑁䅁䅷䅁䭁䭁䄸䅁䭁䙁䅕䅁䭁䙁䅅䅁䙁䅁䅁䅁杁佧䅚权奂䅁䅁允䅁䅁䅅䅁䙁䵁偋煍湅氯䅰䍄䉁䅁䅁兂䅁䅁䅍䅄䅁䅁䅯杲䅁䅁䅯允䅁䅁䅕䅁䅁䍁䅃欵䭁䙁䅧䅁䉁䅁䅁允䅁䅁䅕穴坳浰㑙づ䵁䅉䅅䅁䝁䅁䅁睁䵁䅁䅁权㉂䅁䅁权䭂䅁䅁兂䅁䅁䅁䥉浄䅑䅕䅁䅁䍁䅃欵䭁䙁䅧䅁䉁䅁䅁允䅁䅁䅕䥢癌硨捅䕮䵁䅉䅅䅁䝁䅁䅁睁䵁䅁䅁权畃䅁䅁权潂䅁䅁权婂䅁䅁兂䅁䅁䅁䥉浄䅑䅯䅗䅁䅁䅅䅁䉁䅁䅁兂汁㈲嘳坐摚䅑杷允䅁䅁䅙䅁䑁䅁䅷䅁䭁䙁䅙䅁䭁䙁䅕䅁䭁䙁䅅䅁䙁䅁䅁䅁杄⭦䅚权奂䅁䅁允䅁䅁䅅䅁䙁䅁㝮坩歯潚䅨䍄䉁䅁䅁杂䅁䅁䅍䅄䅁䅁䅯杲䅁䅁䅯兡䅁䅁䅯兗䅁䅁䅕䅁䅁䍁䅃欵䭁䙁䅧䅁䉁䅁䅁允䅁䅁䅕摶朵䉈䭱ぅ䵁䅉䅅䅁䝁䅁䅁睁䵁䅁䅁权⭂䅁䅁权潂䅁䅁权婂䅁䅁兂䅁䅁䅁䥉浄䅑䅯䅗䅁䅁䅅䅁䉁䅁䅁兂敄㝅灇⼯瑵䅑杷允䅁䅁䅙䅁䑁䅁䅷䅁䭁䭁䄴䅁䭁䕁䄸䅁䭁䙁䅁䅁䙁䅁䅁䅁杁佧䅚权奂䅁䅁允䅁䅁䅅䅁䙁䩁晢⭓楑潍䅚䍄䉁䅁䅁兂䅁䅁䅍䅄䅁䅁䅯杦䅁䅁䅯允䅁䅁䅕䅁䅁佁⽂欵䭁䙁䅧䅁䉁䅁䅁允䅁䅁䅕慧硒穷灑欳䵁䅉䅅䅁䝁䅁䅁睁䵁䅁䅁权畃䅁䅁权慂䅁䅁权兂䅁䅁兂䅁䅁䅁䥉浄䅑䅯䅗䅁䅁䅅䅁䉁䅁䅁兂噄⼸䱁癅䥬䅑杷允䅁䅁䅙䅁䑁䅁䅷䅁䭁䡁䅙䅁䭁䥁䅙䅁䭁䙁䅫䅁䙁䅁䅁䅁杁佧䅚权奂䅁䅁允䅁䅁䅅䅁䙁偁㝲㥥甫呔䅬䍄䉁䅁䅁杂䅁䅁䅍䅄䅁䅁䅯兢䅁䅁䅯杓䅁䅁䅕䅁䅁䍁䅃欵䙁䅁䅁䅁杁佧䅚权奂䅁䅁允䅁䅁䅅䅁䭁䩁䅳䅁䵁䅉䅅䅁䝁䅁䅁睁䵁䅁䅁权牂䅁䅁权扂䅁䅁权兂䅁䅁兂䅁䅁䅁䥉浄䅑䅯䅗䅁䅁䅅䅁䉁䅁䅁兂穁積積㝍李䅑杷允䅁䅁䅙䅁䑁䅁䅷䅁䭁䝁䄰䅁䭁䥁䅙䅁䭁䙁䅫䅁䙁䅁䅁䅁杁佧䅚权奂䅁䅁允䅁䅁䅅䅁䙁䍁橷⽵䅐啮䅰䍄䉁䅁䅁杂䅁䅁䅍䅄䅁䅁䅯兢䅁䅁䅯杗䅁䅁䅯䅕䅁䅁䅕䅁䅁䍁䅃欵䭁䙁䅧䅁䉁䅁䅁允䅁䅁䅕㕅噈䝅〸䕢䵁䅉䅅䅁䝁䅁䅁睁䵁䅁䅁权畃䅁䅁权噂䅁䅁权剂䅁䅁兂䅁䅁䅁䠴洯䅑䅯䅗䅁䅁䅅䅁䉁䅁䅁兂㥄攳昵佁做䅑杷允䅁䅁䅙䅁䑁䅁䅷䅁䭁䩁䄸䅁䭁䝁䅧䅁䭁䙁䅫䅁䙁䅁䅁䅁杄⭦䅚权奂䅁䅁允䅁䅁䅅䅁䙁乁慄㑉⽱䨫䄵䍄䉁䅁䅁兂䅁䅁䅍䅄䅁䅁䅯杤䅁䅁䅯允䅁䅁䅕䅁䅁䍁䅃欵䭁䙁䅧䅁䉁䅁䅁允䅁䅁䅕儶ㄸ㜱䩯䕮䵁䅉䅅䅁䝁䅁䅁睁䵁䅁䅁权牃䅁䅁权扂䅁䅁权兂䅁䅁兂䅁䅁䅁䠴洯䅑䅯䅗䅁䅁䅅䅁䉁䅁䅁权扃䅁䅁䍄䉁䅁䅁杂䅁䅁䅍䅄䅁䅁䅯睱䅁䅁䅯杗䅁䅁䅯䅕䅁䅁䅕䅁䅁佁⽂欵䭁䙁䅧䅁䉁䅁䅁允䅁䅁䅕畤䑩剑偋䕦䵁䅉䅅䅁䑁䅁䅁睁歂䅁䅁权坂䅁䅁权坃允䅁允䅁䅁䅅䅁䭁䩁䉣䅁䵁䅉䅅䅁䝁䅁䅁睁䵁䅁䅁权㉂䅁䅁权䡂䅁䅁权婂䅁䅁兂䅁䅁䅁䥉浄䅑䅯䅗䅁䅁䅅䅁䉁䅁䅁兂䭂眵䈱㍈卙䅑杷允䅁䅁䅙䅁䑁䅁䅷䅁䭁䡁䅙䅁䭁䕁䄸䅁䭁䙁䅁䅁䙁䅁䅁䅁杁佧䅚权奂䅁䅁允䅁䅁䅅䅁䙁䍁猰瀸䵁潷䄱䍄䉁䅁䅁杂䅁䅁䅍䅄䅁䅁䅯杤䅁䅁䅯杨䅁䅁䅯兗䅁䅁䅕䅁䅁佁⽂欵䭁䙁䅧䅁䉁䅁䅁允䅁䅁䅕瘫㝴㘳丵問䵁䅉䅅䅁䝁䅁䅁睁䵁䅁䅁权㉂䅁䅁权呂䅁䅁权剂䅁䅁兂䅁䅁䅁䥉浄䅑䅯䅗䅁䅁䅅䅁䉁䅁䅁兂畄㝭䕮牅入䅑杷允䅁䅁䅙䅁䑁䅁䅷䅁䭁䱁䅕䅁䭁䕁䄸䅁䭁䙁䅁䅁䙁䅁䅁䅁杄⭦䅚权奂䅁䅁允䅁䅁䅅䅁䙁䅁䅁䅁䅃扉䅊䍄䉁䅁䅁杂䅁䅁䅍䅄䅁䅁䅯杤䅁䅁䅯兖䅁䅁䅯兕䅁䅁䅕䅁䅁䍁䅃欵䭁䙁䅧䅁䉁䅁䅁允䅁䅁䅕夰橎䕆摦啘䵁䅉䅅䅁䝁䅁䅁睁䵁䅁䅁权牃䅁䅁权䝃䅁䅁权婂䅁䅁兂䅁䅁䅁䠴洯䅑䅯䅗䅁䅁䅅䅁䉁䅁䅁权扃䅁䅁䍄䉁䅁䅁兂䅁䅁䅍䅄䅁䅁䅯杧䅁䅁䅯杙䅁䅁䅯䅕䅁䅁䅕䅁䅁䍁䅃欵䉁䅁䅁允䅁䅁䅕䩺瑮湃夳歉䵁䅉䅅䅁䙁䅁䅁睁䵁䅁䅁权䍃䅁䅁权䉁䅁䅁兂䅁䅁䅁䥉浄䅑䅯䅗䅁䅁䅅䅁䉁䅁䅁兂㝃硡正兙㡺䅑杷允䅁䅁䅙䅁䑁䅁䅷䅁䭁䙁䅙䅁䭁䕁䄸䅁䭁䙁䅁䅁䙁䅁䅁䅁杄⭦䅚权奂䅁䅁允䅁䅁䅅䅁䙁乁橂电㥖䵲䅒䍄䉁䅁䅁兂䅁䅁䅍䅄䅁䅁䅯䅧䅁䅁䅯杙䅁䅁䅯䅕䅁䅁䅕䅁䅁䍁䅃欵䉁䅁䅁允䅁䅁䅕硥䍁椸歕ぇ䵁䅉䅅䅁䑁䅁䅁睁歂䅁䅁权䅃䅁䅁权坃允䅁允䅁䅁䅅䅁䭁䩁䉣䅁䵁䅉䅅䅁䝁䅁䅁睁䵁䅁䅁权䍃䅁䅁权灂䅁䅁权婂䅁䅁兂䅁䅁䅁䥉浄䅑䅯䅗䅁䅁䅅䅁䉁䅁䅁兂慂潃塯琸䍓䅑杷允䅁䅁䅙䅁䑁䅁䅷䅁䭁䥁䅉䅁䭁䕁䄸䅁䭁䙁䅁䅁䙁䅁䅁䅁杁佧䅚权奂䅁䅁允䅁䅁䅅䅁䙁䉁㑁杢戶畢䅎䍄䉁䅁䅁杂䅁䅁䅍䅄䅁䅁䅯杦䅁䅁䅯睗䅁䅁䅯䅕䅁䅁䅕䅁䅁䍁䅃欵䭁䙁䅧䅁䉁䅁䅁允䅁䅁䅕な告慩敊歫䵁䅉䅅䅁䝁䅁䅁睁䵁䅁䅁权䍃䅁䅁权扂䅁䅁权兂䅁䅁兂䅁䅁䅁䥉浄䅑䅯䅗䅁䅁䅅䅁䉁䅁䅁兂乂牣䑭異桥䅑杷允䅁䅁䅕䅁䑁䅁䅷䅁䭁䱁䅍䅁䭁䅁䅅䅁䙁䅁䅁䅁杄⭦䅚权奂䅁䅁允䅁䅁䅅䅁䙁䡁批䙡噍慫䅤䍄䉁䅁䅁杂䅁䅁䅍䅄䅁䅁䅯杧䅁䅁䅯兖䅁䅁䅯兕䅁䅁䅕䅁䅁䍁䅃欵䭁䙁䅧䅁䉁䅁䅁允䅁䅁䅕㡓挵䕘橆歳䵁䅉䅅䅁䝁䅁䅁睁䵁䅁䅁权牃䅁䅁权䭂䅁䅁兂䅁䅁䅁䠴洯䅑䅕䅁䅁佁⽂欵䭁䙁䅧䅁䉁䅁䅁允䅁䅁䅕杫䅷䍮楫啵䵁䅉䅅䅁䝁䅁䅁睁䵁䅁䅁权䅃䅁䅁权慂䅁䅁权兂䅁䅁兂䅁䅁䅁䥉浄䅑䅯䅗䅁䅁䅅䅁䉁䅁䅁兂婄佴瀸穙穬䅑杷允䅁䅁䅙䅁䑁䅁䅷䅁䭁䡁䄴䅁䭁䕁䅯䅁䙁䅁䅁䅁杁佧䅚兂䅁䅁䅁䥉浄䅑䅯䅗䅁䅁䅅䅁䉁䅁䅁兂䱄乮睵剪桮䅑杷允䅁䅁䅙䅁䑁䅁䅷䅁䭁䡁䄴䅁䭁䕁䄸䅁䭁䙁䅁䅁䙁䅁䅁䅁杁佧䅚权奂䅁䅁允䅁䅁䅅䅁䙁䱁畈圲啎㥧䅎䍄䉁䅁䅁杂䅁䅁䅍䅄䅁䅁䅯杦䅁䅁䅯睕䅁䅁䅯兕䅁䅁䅕䅁䅁䍁䅃欵䭁䙁䅧䅁䉁䅁䅁允䅁䅁䅕慂䑭汕㙺唱䵁䅉䅅䅁䝁䅁䅁睁䵁䅁䅁权䅃䅁䅁权灂䅁䅁权婂䅁䅁兂䅁䅁䅁䥉浄䅑䅯䅗䅁䅁䅅䅁䉁䅁䅁兂䥂啮㝚䱏灸䅑杷允䅁䅁䅙䅁䑁䅁䅷䅁䭁䡁䄴䅁䭁䙁䅯䅁䭁䙁䅁䅁䙁䅁䅁䅁杁佧䅚权奂䅁䅁允䅁䅁䅅䅁䙁䩁䵎㉓㉫煕䅖䍄䉁䅁䅁兂䅁䅁䅍䅄䅁䅁䅯睡䅁䅁䅯允䅁䅁䅕䅁䅁䍁䅃欵䭁䙁䅧䅁䉁䅁䅁允䅁䅁䅕⽡⽐汱橑䕺䵁䅉䅅䅁䝁䅁䅁睁䵁䅁䅁权牂䅁䅁权潂䅁䅁权婂䅁䅁兂䅁䅁䅁䥉浄䅑䅯䅗䅁䅁䅅䅁䉁䅁䅁兂乄䵺䵺佺橗䅑杷允䅁䅁䅙䅁䑁䅁䅷䅁䭁䝁䅳䅁䭁䥁䅙䅁䭁䙁䅫䅁䙁䅁䅁䅁杁佧䅚权奂䅁䅁允䅁䅁䅅䅁䭁䩁䅳䅁䵁䅉䅅䅁䝁䅁䅁睁䵁䅁䅁权牂䅁䅁权䡂䅁䅁权婂䅁䅁兂䅁䅁䅁䥉浄䅑䅯䅗䅁䅁䅅䅁䉁䅁䅁兂乄䵺䵺䱺杹䅑杷允䅁䅁䅙䅁䑁䅁䅷䅁䭁䝁䅳䅁䭁䕁䅯䅁䙁䅁䅁䅁杁佧䅚兂䅁䅁䅁䥉浄䅑䅯䅗䅁䅁䅅䅁䉁䅁䅁兂睂桥癦祑兮䅑杷允䅁䅁䅙䅁䑁䅁䅷䅁䭁䝁䅳䅁䭁䕁䄸䅁䭁䙁䅁䅁䙁䅁䅁䅁杁佧䅚权奂䅁䅁允䅁䅁䅅䅁䙁䵁䴳䵺䵺牘䅬䍄䉁䅁䅁杂䅁䅁䅍䅄䅁䅁䅯睡䅁䅁䅯杗䅁䅁䅯䅕䅁䅁䅕䅁䅁䍁䅃欵䭁䙁䅧䅁䉁䅁䅁允䅁䅁䅕䅁䅁䅁浄䕫䵁䅉䅅䅁䝁䅁䅁睁䵁䅁䅁权牂䅁䅁权噂䅁䅁权剂䅁䅁兂䅁䅁䅁䥉浄䅑䅯䅗䅁䅁䅅䅁䉁䅁䅁兂呁晓祑煡吶䅑杷允䅁䅁䅕䅁䑁䅁䅷䅁䭁䙁䅙䅁䭁䅁䅅䅁䙁䅁䅁䅁杁佧䅚权奂䅁䅁允䅁䅁䅅䅁䙁佁捙䅙畍㡳䅖䍄䉁䅁䅁杂䅁䅁䅍䅄䅁䅁䅯杖䅁䅁䅯䅡䅁䅁䅯兗䅁䅁䅕䅁䅁䍁䅃欵䭁䙁䅧䅁䉁䅁䅁允䅁䅁䅕噹䍣呋晆䕬䵁䅉䅅䅁䝁䅁䅁睁䵁䅁䅁权坂䅁䅁权䝃䅁䅁权婂䅁䅁兂䅁䅁䅁䥉浄䅑䅯䅗䅁䅁䅅䅁䉁䅁䅁兂千獬扲婅䕹䅑杷允䅁䅁䅙䅁䑁䅁䅷䅁䭁䙁䅙䅁䭁䙁䅯䅁䭁䙁䅁䅁䙁䅁䅁䅁杁佧䅚权奂䅁䅁允䅁䅁䅅䅁䙁䅁牌瀰⽎失䄱䍄䉁䅁䅁杂䅁䅁䅍䅄䅁䅁䅯兢䅁䅁䅯杓䅁䅁䅕䅁䅁佁⽂欵䙁䅁䅁䅁杄⭦䅚权奂䅁䅁允䅁䅁䅅䅁䭁䩁䅳䅁䵁䅉䅅䅁䝁䅁䅁睁䵁䅁䅁权坂䅁䅁权扂䅁䅁权兂䅁䅁兂䅁䅁䅁䥉浄䅑䅯䅗䅁䅁䅅䅁䉁䅁䅁兂乂樵䩌⽮畸䅑杷允䅁䅁䅙䅁䑁䅁䅷䅁䭁䭁䄴䅁䭁䕁䅣䅁䭁䙁䅫䅁䙁䅁䅁䅁杄⭦䅚权奂䅁䅁允䅁䅁䅅䅁䙁䑁乪穰捏噌䅸䍄䉁䅁䅁杂䅁䅁䅍䅄䅁䅁䅯兴䅁䅁䅯䅡䅁䅁䅯兗䅁䅁䅕䅁䅁佁⽂欵䭁䙁䅧䅁䉁䅁䅁允䅁䅁䅕積積積㝍武䵁䅉䅅䅁䙁䅁䅁睁䵁䅁䅁权䅃䅁䅁权䉁䅁䅁兂䅁䅁䅁䥉浄䅑䅯䅗䅁䅁䅅䅁䉁䅁䅁兂乁穭氶嘳㉩䅑杷允䅁䅁䅙䅁䑁䅁䅷䅁䭁䥁䅁䅁䭁䥁䅙䅁䭁䙁䅫䅁䙁䅁䅁䅁杁佧䅚权奂䅁䅁允䅁䅁䅅䅁䙁佁灌啪䕈啇䄱䍄䉁䅁䅁兂䅁䅁䅍䅄䅁䅁䅯睱䅁䅁䅯杙䅁䅁䅯䅕䅁䅁䅕䅁䅁佁⽂欵䉁䅁䅁允䅁䅁䅕搶牚汥䅃歅䵁䅉䅅䅁䝁䅁䅁睁䵁䅁䅁权祃䅁䅁权噂䅁䅁权剂䅁䅁兂䅁䅁䅁䠴洯䅑䅯䅗䅁䅁䅅䅁䉁䅁䅁兂䅁汃䵗㝬栵䅑杷允䅁䅁䅕䅁䑁䅁䅷䅁䭁䱁䅍䅁䭁䝁䅉䅁䭁䙁䅁䅁䙁䅁䅁䅁杄⭦䅚允䅁䅁䅅䅁䙁䙁獬㑫䝲癇⽫䍄䉁䅁䅁杂䅁䅁䅍䅄䅁䅁䅯睱䅁䅁䅯兖䅁䅁䅯兕䅁䅁䅕䅁䅁佁⽂欵䭁䙁䅧䅁䉁䅁䅁允䅁䅁䅕剎䅚婺摯て䵁䅉䅅䅁䙁䅁䅁睁䵁䅁䅁权癃䅁䅁权楂䅁䅁权兂䅁䅁兂䅁䅁䅁䠴洯䅑䅅䅁䉁䅁䅁兂煃煒䜸䵋⼳睐杷允䅁䅁䅕䅁䑁䅁䅷䅁䭁䱁䅉䅁䭁䝁䅉䅁䭁䙁䅁䅁䙁䅁䅁䅁杄⭦䅚允䅁䅁䅅䅁䙁䍁䙥奥稸儷䅖䍄䉁䅁䅁兂䅁䅁䅍䅄䅁䅁䅯兢䅁䅁䅯杙䅁䅁䅯䅕䅁䅁䅕䅁䅁佁⽂欵䉁䅁䅁允䅁䅁䅯睭䅁䅁杷允䅁䅁䅙䅁䑁䅁䅷䅁䭁䱁䅍䅁䭁䥁䅙䅁䭁䙁䅫䅁䙁䅁䅁䅁杄⭦䅚权奂䅁䅁允䅁䅁䅅䅁䙁䵁祐䍪光䝍䅸䍄䉁䅁䅁杂䅁䅁䅍䅄䅁䅁䅯杳䅁䅁䅯睗䅁䅁䅯䅕䅁䅁䅕䅁䅁佁⽂欵䭁䙁䅧䅁䉁䅁䅁允䅁䅁䅕㝫汩㕧慔歈䵁䅉䅅䅁䝁䅁䅁睁䵁䅁䅁权䍃䅁䅁权偂䅁䅁权兂䅁䅁兂䅁䅁䅁䠴洯䅑䅯䅗䅁䅁䅅䅁䉁䅁䅁兂允䝏伴㉭樷䅑杷允䅁䅁䅙䅁䑁䅁䅷䅁䭁䭁䄴䅁䭁䙁䅳䅁䭁䙁䅁䅁䙁䅁䅁䅁杄⭦䅚权奂䅁䅁允䅁䅁䅅䅁䙁䑁捒䝕奴先䄹䍄䉁䅁䅁杂䅁䅁䅍䅄䅁䅁䅯睱䅁䅁䅯兡䅁䅁䅯兗䅁䅁䅕䅁䅁佁⽂欵䭁䙁䅧䅁䉁䅁䅁允䅁䅁䅕㕖卑汧硗で䵁䅉䅅䅁䙁䅁䅁睁䵁䅁䅁权畃䅁䅁权䉁䅁䅁兂䅁䅁䅁䠴洯䅑䅯䅗䅁䅁䅅䅁䉁䅁䅁兂䥂ふ㥯礷㠱䅑杷允䅁䅁䅙䅁䑁䅁䅷䅁䭁䙁䅙䅁䭁䕁䅯䅁䙁䅁䅁䅁杄⭦䅚兂䅁䅁䅁䠴洯䅑䅯䅗䅁䅁䅅䅁䉁䅁䅁兂千㑩ㅂ䉔䡄䅑杷允䅁䅁䅕䅁䑁䅁䅷䅁䭁䩁䄸䅁䭁䅁䅅䅁䙁䅁䅁䅁杄⭦䅚权奂䅁䅁允䅁䅁䅅䅁䙁䑁杈湚䌯㤶䅆䍄䉁䅁䅁杂䅁䅁䅍䅄䅁䅁䅯杲䅁䅁䅯睔䅁䅁䅯䅕䅁䅁䅕䅁䅁佁⽂欵䭁䙁䅧䅁䉁䅁䅁允䅁䅁䅕瑬䰹䌵祉歨䵁䅉䅅䅁䝁䅁䅁睁䵁䅁䅁权瑂䅁䅁权䡂䅁䅁权婂䅁䅁兂䅁䅁䅁䠴洯䅑䅯䅗䅁䅁䅅䅁䉁䅁䅁兂橃䱴⽏灢祊䅑杷允䅁䅁䅙䅁䑁䅁䅷䅁䭁䩁䄸䅁䭁䥁䅙䅁䭁䙁䅫䅁䙁䅁䅁䅁杄⭦䅚权奂䅁䅁允䅁䅁䅅䅁䭁䩁䅳䅁䵁䅉䅅䅁䝁䅁䅁睁䵁䅁䅁权牂䅁䅁权慂䅁䅁权兂䅁䅁兂䅁䅁䅁䠴洯䅑䅯䅗䅁䅁䅅䅁䉁䅁䅁兂䅁䅁䅁佁兡䅑杷允䅁䅁䅙䅁䑁䅁䅷䅁䭁䩁䄸䅁䭁䕁䅯䅁䙁䅁䅁䅁杄⭦䅚兂䅁䅁䅁䠴洯䅑䅯䅗䅁䅁䅅䅁䉁䅁䅁兂十䱇灊䥅卮䅑杷允䅁䅁䅙䅁䑁䅁䅷䅁䭁䩁䄸䅁䭁䕁䄸䅁䭁䙁䅁䅁䙁䅁䅁䅁杄⭦䅚权奂䅁䅁允䅁䅁䅅䅁䙁䉁歉啖䥚払䅂䍄䉁䅁䅁杂䅁䅁䅍䅄䅁䅁䅯睮䅁䅁䅯睗䅁䅁䅯䅕䅁䅁䅕䅁䅁佁⽂欵䭁䙁䅧䅁䉁䅁䅁允䅁䅁䅕塑灕坍塌け䵁䅉䅅䅁䝁䅁䅁睁䵁䅁䅁权䍃䅁䅁权䡂䅁䅁权婂䅁䅁兂䅁䅁䅁䠴洯䅑䅯䅗䅁䅁䅅䅁䉁䅁䅁兂噄祅摶䅒䅐䅑杷允䅁䅁䅙䅁䑁䅁䅷䅁䭁䭁䅳䅁䭁䕁䄸䅁䭁䙁䅁䅁䙁䅁䅁䅁杄⭦䅚权奂䅁䅁允䅁䅁䅅䅁䙁䭁穔䉡䍁婨䄹䍄䉁䅁䅁杂䅁䅁䅍䅄䅁䅁䅯杦䅁䅁䅯䅡䅁䅁䅯兗䅁䅁䅕䅁䅁佁⽂欵䭁䙁䅧䅁䉁䅁䅁允䅁䅁䅕栳硏晱㜯啲䵁䅉䅅䅁䙁䅁䅁睁䵁䅁䅁权牂䅁䅁权楂䅁䅁权兂䅁䅁兂䅁䅁䅁䠴洯䅑䅅䅁䉁䅁䅁兂奄浚汍氵卫䅑杷允䅁䅁䅙䅁䑁䅁䅷䅁䭁䭁䅳䅁䭁䙁䅍䅁䭁䙁䅅䅁䙁䅁䅁䅁杄⭦䅚权奂䅁䅁允䅁䅁䅅䅁䙁䩁㉵佡䕦䭁䅂䍄䉁䅁䅁杂䅁䅁䅍䅄䅁䅁䅯睳䅁䅁䅯䅡䅁䅁䅯兗䅁䅁䅕䅁䅁佁⽂欵䭁䙁䅧䅁䉁䅁䅁允䅁䅁䅕敏䱰㌴䡮に䵁䅉䅅䅁䝁䅁䅁睁䵁䅁䅁权㉂䅁䅁权偂䅁䅁权兂䅁䅁兂䅁䅁䅁䠴洯䅑䅯䅗䅁䅁䅅䅁䉁䅁䅁兂瑁偌克䵄之䅑杷允䅁䅁䅙䅁䑁䅁䅷䅁䭁䱁䅍䅁䭁䙁䅕䅁䭁䙁䅅䅁䙁䅁䅁䅁杄⭦䅚权奂䅁䅁允䅁䅁䅅䅁䙁佁㑬㍓䑯湨䄵䍄䉁䅁䅁兂䅁䅁䅍䅄䅁䅁䅯兴䅁䅁䅯允䅁䅁䅕䅁䅁佁⽂欵䭁䙁䅧䅁䉁䅁䅁允䅁䅁䅕䝑呯㑊䴸啰䵁䅉䅅䅁䝁䅁䅁睁䵁䅁䅁权ㅃ䅁䅁权灂䅁䅁权婂䅁䅁兂䅁䅁䅁䠴洯䅑䅯䅗䅁䅁䅅䅁䉁䅁䅁兂湂浚浚煚捚䅑杷允䅁䅁䅙䅁䑁䅁䅷䅁䭁䱁䅕䅁䭁䕁䅣䅁䭁䙁䅫䅁䙁䅁䅁䅁杄⭦䅚权奂䅁䅁允䅁䅁䅅䅁䙁䩁婱婭婭塅䅤䍄䉁䅁䅁杂䅁䅁䅍䅄䅁䅁䅯兴䅁䅁䅯睗䅁䅁䅯䅕䅁䅁䅕䅁䅁佁⽂欵䭁䙁䅧䅁䉁䅁䅁允䅁䅁䅕灭婭婭婭く䵁䅉䅅䅁䝁䅁䅁睁䵁䅁䅁权祃䅁䅁权䝃䅁䅁权婂䅁䅁兂䅁䅁䅁䠴洯䅑䅯䅗䅁䅁䅅䅁䉁䅁䅁兂楃橣ぷ橚㥅䅑杷允䅁䅁䅙䅁䑁䅁䅷䅁䭁䱁䅉䅁䭁䕁䅣䅁䭁䙁䅫䅁䙁䅁䅁䅁杄⭦䅚权奂䅁䅁允䅁䅁䅅䅁䙁䭁桳㍌呐ㅑ䅢䍄䉁䅁䅁杂䅁䅁䅍䅄䅁䅁䅯睡䅁䅁䅯杨䅁䅁䅯兗䅁䅁䅕䅁䅁佁⽂欵䭁䙁䅧䅁䉁䅁䅁允䅁䅁䅯睭䅁䅁杷允䅁䅁䅙䅁䑁䅁䅷䅁䭁䥁䅉䅁䭁䙁䅳䅁䭁䙁䅁䅁䙁䅁䅁䅁杄⭦䅚权奂䅁䅁允䅁䅁䅅䅁䙁䕁礱奵浏㘵䅆䍄䉁䅁䅁杂䅁䅁䅍䅄䅁䅁䅯杳䅁䅁䅯睔䅁䅁䅯䅕䅁䅁䅕䅁䅁佁⽂欵䭁䙁䅧䅁䉁䅁䅁允䅁䅁䅕䍇㙆䜲灙啪䵁䅉䅅䅁䝁䅁䅁睁䵁䅁䅁权癃䅁䅁权䡂䅁䅁权婂䅁䅁兂䅁䅁䅁䠴洯䅑䅯䅗䅁䅁䅅䅁䉁䅁䅁兂䵃坘偪吴桰䅑杷允䅁䅁䅙䅁䑁䅁䅷䅁䭁䭁䄸䅁䭁䙁䅍䅁䭁䙁䅅䅁䙁䅁䅁䅁杄⭦䅚权奂䅁䅁允䅁䅁䅅䅁䙁䥁塮杒楉䥰䅚䍄䉁䅁䅁杂䅁䅁䅍䅄䅁䅁䅯兢䅁䅁䅯兖䅁䅁䅯兕䅁䅁䅕䅁䅁佁⽂欵䭁䙁䅧䅁䉁䅁䅁允䅁䅁䅯睭䅁䅁杷允䅁䅁䅙䅁䑁䅁䅷䅁䭁䡁䄴䅁䭁䙁䅕䅁䭁䙁䅅䅁䙁䅁䅁䅁杄⭦䅚权奂䅁䅁允䅁䅁䅅䅁䙁䕁癲牆㑔㔵䄱䍄䉁䅁䅁杂䅁䅁䅍䅄䅁䅁䅯睲䅁䅁䅯杗䅁䅁䅯䅕䅁䅁䅕䅁䅁佁⽂欵䭁䙁䅧䅁䉁䅁䅁允䅁䅁䅕晖奄⭩愫䕘䵁䅉䅅䅁䝁䅁䅁睁䵁䅁䅁权畃䅁䅁权䝃䅁䅁权婂䅁䅁兂䅁䅁䅁䠴洯䅑䅯䅗䅁䅁䅅䅁䉁䅁䅁兂㉄㜫䅒攸䉚䅑杷允䅁䅁䅙䅁䑁䅁䅷䅁䭁䭁䄴䅁䭁䝁䅫䅁䭁䙁䅫䅁䙁䅁䅁䅁杄⭦䅚权奂䅁䅁允䅁䅁䅅䅁䙁䱁攳䉙慷桩䅎䍄䉁䅁䅁杂䅁䅁䅍䅄䅁䅁䅯杲䅁䅁䅯杓䅁䅁䅕䅁䅁佁⽂欵䙁䅁䅁䅁杄⭦䅚权奂䅁䅁允䅁䅁䅅䅁䙁䩁昵朵䱸奬䅆䍄䉁䅁䅁杂䅁䅁䅍䅄䅁䅁䅯兢䅁䅁䅯睔䅁䅁䅯䅕䅁䅁䅕䅁䅁佁⽂欵䭁䙁䅧䅁䉁䅁䅁允䅁䅁䅕䝄偔䜫硬啬䵁䅉䅅䅁䝁䅁䅁睁䵁䅁䅁权㉂䅁䅁权灂䅁䅁权婂䅁䅁兂䅁䅁䅁䠴洯䅑䅯䅗䅁䅁䅅䅁䉁䅁䅁兂捄佔硁㕬圹䅑杷允䅁䅁䅕䅁䑁䅁䅷䅁䭁䥁䅉䅁䭁䝁䅉䅁䭁䙁䅁䅁䙁䅁䅁䅁杄⭦䅚允䅁䅁䅅䅁䙁䩁䱒破敤匶䅊䍄䉁䅁䅁兂䅁䅁䅍䅄䅁䅁䅯杦䅁䅁䅯杙䅁䅁䅯䅕䅁䅁䅕䅁䅁佁⽂欵䉁䅁䅁允䅁䅁䅕䵬浄䑈呷䕈䵁䅉䅅䅁䝁䅁䅁睁䵁䅁䅁权䅃䅁䅁权䡂䅁䅁权婂䅁䅁兂䅁䅁䅁䠴洯䅑䅯䅗䅁䅁䅅䅁䉁䅁䅁兂畂橺䭗側偰䅷杷允䅁䅁䅙䅁䑁䅁䅷䅁䭁䥁䅁䅁䭁䕁䄸䅁䭁䙁䅁䅁䙁䅁䅁䅁杄⭦䅚权奂䅁䅁允䅁䅁䅅䅁䙁䵁儲敹塣㝍䅎䍄䉁䅁䅁兂䅁䅁䅍䅄䅁䅁䅯杧䅁䅁䅯允䅁䅁䅕䅁䅁佁⽂欵䭁䙁䅧䅁䉁䅁䅁允䅁䅁䅕牂灵瑄㡳䔯䵁䅉䅅䅁䝁䅁䅁睁䵁䅁䅁权䍃䅁䅁权灂䅁䅁权婂䅁䅁兂䅁䅁䅁䠴洯䅑䅯䅗䅁䅁䅅䅁䉁䅁䅁兂慂潃塯琸䍓䅑杷允䅁䅁䅙䅁䑁䅁䅷䅁䭁䥁䅉䅁䭁䕁䅯䅁䙁䅁䅁䅁杄⭦䅚兂䅁䅁䅁䠴洯䅑䅯䅗䅁䅁䅅䅁䉁䅁䅁兂呃㉢昶べ⭐䅑杷允䅁䅁䅙䅁䑁䅁䅷䅁䭁䥁䅉䅁䭁䙁䅍䅁䭁䙁䅅䅁䙁䅁䅁䅁杄⭦䅚权奂䅁䅁允䅁䅁䅅䅁䙁䭁䑊乍䵭散䅚䍄䉁䅁䅁杂䅁䅁䅍䅄䅁䅁䅯杦䅁䅁䅯杨䅁䅁䅯兗䅁䅁䅕䅁䅁佁⽂欵䭁䙁䅧䅁䉁䅁䅁允䅁䅁䅕睷爹摦卍䕨䵁䅉䅅䅁䝁䅁䅁睁䵁䅁䅁权⭂䅁䅁权灂䅁䅁权婂䅁䅁兂䅁䅁䅁䠴洯䅑䅯䅗䅁䅁䅅䅁䉁䅁䅁兂㑂瑮䡏晃䅩䅑杷允䅁䅁䅙䅁䑁䅁䅷䅁䭁䡁䄴䅁䭁䕁䅣䅁䭁䙁䅫䅁䙁䅁䅁䅁杄⭦䅚权奂䅁䅁允䅁䅁䅅䅁䙁䕁獅䕶㥦慶䅬䍄䉁䅁䅁杂䅁䅁䅍䅄䅁䅁䅯杦䅁䅁䅯杗䅁䅁䅯䅕䅁䅁䅕䅁䅁佁⽂欵䭁䙁䅧䅁䉁䅁䅁允䅁䅁䅕に䱸呡博啰䵁䅉䅅䅁䙁䅁䅁睁䵁䅁䅁权牂䅁䅁权䉁䅁䅁兂䅁䅁䅁䠴洯䅑䅯䅗䅁䅁䅅䅁䉁䅁䅁兂啃㕕㡢䅌乮䅑杷允䅁䅁䅙䅁䑁䅁䅷䅁䭁䝁䅳䅁䭁䝁䅧䅁䭁䙁䅫䅁䙁䅁䅁䅁杄⭦䅚权奂䅁䅁允䅁䅁䅅䅁䙁䵁䴳䵺䵺愵䅎䍄䉁䅁䅁杂䅁䅁䅍䅄䅁䅁䅯睡䅁䅁䅯睒䅁䅁䅯兗䅁䅁䅕䅁䅁佁⽂欵䭁䙁䅧䅁䉁䅁䅁允䅁䅁䅕捺䵺䵺㡹䕯䵁䅉䅅䅁䝁䅁䅁睁䵁䅁䅁权牂䅁䅁权䭂䅁䅁兂䅁䅁䅁䠴洯䅑䅕䅁䅁佁⽂欵䭁䙁䅧䅁䉁䅁䅁允䅁䅁䅕䕬橶穆捃䔰䵁䅉䅅䅁䝁䅁䅁睁䵁䅁䅁权牂䅁䅁权偂䅁䅁权兂䅁䅁兂䅁䅁䅁䠴洯䅑䅯䅗䅁䅁䅅䅁䉁䅁䅁兂乄䵺䵺䙺㔶䅑杷允䅁䅁䅙䅁䑁䅁䅷䅁䭁䝁䅳䅁䭁䙁䅳䅁䭁䙁䅁䅁䙁䅁䅁䅁杄⭦䅚权奂䅁䅁允䅁䅁䅅䅁䙁䑁積積積㉳䅂䍄䉁䅁䅁兂䅁䅁䅍䅄䅁䅁䅯杖䅁䅁䅯允䅁䅁䅕䅁䅁佁⽂欵䭁䙁䅧䅁䉁䅁䅁允䅁䅁䅕呗智䍥じ啸䵁䅉䅅䅁䝁䅁䅁睁䵁䅁䅁权坂䅁䅁权灂䅁䅁权婂䅁䅁兂䅁䅁䅁䠴洯䅑䅯䅗䅁䅁䅅䅁䉁䅁䅁兂䙂㤰䩮倴䝇䅑杷允䅁䅁䅙䅁䑁䅁䅷䅁䭁䙁䅙䅁䭁䝁䅧䅁䭁䙁䅫䅁䙁䅁䅁䅁杄⭦䅚权奂䅁䅁允䅁䅁䅅䅁䙁䵁塬楁硫㕘䅒䍄䉁䅁䅁杂䅁䅁䅍䅄䅁䅁䅯杖䅁䅁䅯杗䅁䅁䅯䅕䅁䅁䅕䅁䅁佁⽂欵䭁䙁䅧䅁䉁䅁䅁允䅁䅁䅕畁卶㍫嘯啪䵁䅉䅅䅁䝁䅁䅁睁䵁䅁䅁权坂䅁䅁权扂䅁䅁权兂䅁䅁兂䅁䅁䅁䠴洯䅑䅯䅗䅁䅁䅅䅁䉁䅁䅁兂乂樵䩌⽮畸䅑杷允䅁䅁䅕䅁䑁䅁䅷䅁䭁䥁䅁䅁䭁䅁䅅䅁䙁䅁䅁䅁杄⭦䅚权奂䅁䅁允䅁䅁䅅䅁䙁䵁橍头䘯䱯䅚䍄䉁䅁䅁杂䅁䅁䅍䅄䅁䅁䅯䅧䅁䅁䅯䅡䅁䅁䅯兗䅁䅁䅕䅁䅁佁⽂欵䭁䙁䅧䅁䉁䅁䅁允䅁䅁䅕䍲㕭䥗㥵啙䵁䅉䅅䅁䝁䅁䅁睁䵁䅁䅁权䅃䅁䅁权灂䅁䅁权婂䅁䅁兂䅁䅁䅁䠴洯䅑䅯䅗䅁䅁䅅䅁䉁䅁䅁兂䥂啮㝚䱏灸䅑杷允䅁䅁䅙䅁䑁䅁䅷䅁䭁䥁䅁䅁䭁䙁䅍䅁䭁䙁䅅䅁䙁䅁䅁䅁杄⭦䅚权奂䅁䅁允䅁䅁䅅䅁䙁䑁䰰㥐兖扪䅖䍄䉁䅁䅁杂䅁䅁䅍䅄䅁䅁䅯䅧䅁䅁䅯杗䅁䅁䅯䅕䅁䅁䅕䅁䅁佁⽂欵䭁䙁䅧䅁䉁䅁䅁允䅁䅁䅕戲癔坋㕍っ䵁䅉䅅䅁䝁䅁䅁睁䵁䅁䅁权䅃䅁䅁权噂䅁䅁权剂䅁䅁兂䅁䅁䅁䠴洯䅑䅯䅗䅁䅁䅅䅁䉁䅁䅁兂畄態佐敘㍰䅑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</si>
</sst>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x;#\(##0.0\x\)"/>
    <numFmt numFmtId="166" formatCode="0.0%;\(0.0%\)"/>
  </numFmts>
  <fonts count="17" x14ac:knownFonts="1">
    <font>
      <sz val="11"/>
      <color theme="1"/>
      <name val="Aptos Narrow"/>
      <family val="2"/>
      <scheme val="minor"/>
    </font>
    <font>
      <sz val="11"/>
      <color theme="1"/>
      <name val="Aptos Narrow"/>
      <family val="2"/>
      <scheme val="minor"/>
    </font>
    <font>
      <sz val="10"/>
      <name val="Arial"/>
      <family val="2"/>
    </font>
    <font>
      <sz val="8"/>
      <name val="Aptos Narrow"/>
      <family val="2"/>
      <scheme val="minor"/>
    </font>
    <font>
      <sz val="11"/>
      <color theme="1"/>
      <name val="Lato"/>
      <family val="2"/>
    </font>
    <font>
      <sz val="11"/>
      <color theme="4"/>
      <name val="Lato"/>
      <family val="2"/>
    </font>
    <font>
      <b/>
      <sz val="11"/>
      <color theme="0"/>
      <name val="Lato"/>
      <family val="2"/>
    </font>
    <font>
      <b/>
      <i/>
      <sz val="11"/>
      <name val="Lato"/>
      <family val="2"/>
    </font>
    <font>
      <sz val="11"/>
      <name val="Lato"/>
      <family val="2"/>
    </font>
    <font>
      <b/>
      <i/>
      <sz val="11"/>
      <color theme="0"/>
      <name val="Lato"/>
      <family val="2"/>
    </font>
    <font>
      <sz val="8"/>
      <color rgb="FF000000"/>
      <name val="Arial"/>
      <family val="2"/>
    </font>
    <font>
      <sz val="8"/>
      <color theme="4"/>
      <name val="Lato"/>
      <family val="2"/>
    </font>
    <font>
      <b/>
      <sz val="11"/>
      <color theme="1"/>
      <name val="Lato"/>
      <family val="2"/>
    </font>
    <font>
      <sz val="11"/>
      <color rgb="FF00B050"/>
      <name val="Lato"/>
      <family val="2"/>
    </font>
    <font>
      <sz val="11"/>
      <color theme="0"/>
      <name val="Lato"/>
      <family val="2"/>
    </font>
    <font>
      <i/>
      <sz val="11"/>
      <color theme="1"/>
      <name val="Lato"/>
      <family val="2"/>
    </font>
    <font>
      <b/>
      <sz val="8"/>
      <color theme="4"/>
      <name val="Lato"/>
      <family val="2"/>
    </font>
  </fonts>
  <fills count="12">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3"/>
        <bgColor indexed="64"/>
      </patternFill>
    </fill>
    <fill>
      <patternFill patternType="solid">
        <fgColor theme="6"/>
        <bgColor indexed="64"/>
      </patternFill>
    </fill>
    <fill>
      <patternFill patternType="solid">
        <fgColor theme="9"/>
        <bgColor indexed="64"/>
      </patternFill>
    </fill>
    <fill>
      <patternFill patternType="solid">
        <fgColor rgb="FFFFFFFF"/>
        <bgColor indexed="64"/>
      </patternFill>
    </fill>
    <fill>
      <patternFill patternType="solid">
        <fgColor theme="5"/>
        <bgColor indexed="64"/>
      </patternFill>
    </fill>
    <fill>
      <patternFill patternType="solid">
        <fgColor rgb="FFFAD043"/>
        <bgColor indexed="64"/>
      </patternFill>
    </fill>
    <fill>
      <patternFill patternType="solid">
        <fgColor rgb="FF3091BA"/>
        <bgColor indexed="64"/>
      </patternFill>
    </fill>
    <fill>
      <patternFill patternType="solid">
        <fgColor rgb="FF0A1748"/>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2" fillId="0" borderId="0"/>
    <xf numFmtId="0" fontId="2" fillId="0" borderId="0"/>
    <xf numFmtId="43" fontId="1" fillId="0" borderId="0" applyFont="0" applyFill="0" applyBorder="0" applyAlignment="0" applyProtection="0"/>
  </cellStyleXfs>
  <cellXfs count="136">
    <xf numFmtId="0" fontId="0" fillId="0" borderId="0" xfId="0"/>
    <xf numFmtId="0" fontId="4" fillId="2" borderId="0" xfId="0" applyFont="1" applyFill="1"/>
    <xf numFmtId="14" fontId="4" fillId="2" borderId="0" xfId="0" applyNumberFormat="1" applyFont="1" applyFill="1"/>
    <xf numFmtId="0" fontId="4" fillId="2" borderId="0" xfId="0" applyFont="1" applyFill="1" applyAlignment="1">
      <alignment horizontal="left"/>
    </xf>
    <xf numFmtId="0" fontId="5" fillId="2" borderId="0" xfId="0" applyFont="1" applyFill="1" applyAlignment="1">
      <alignment horizontal="left"/>
    </xf>
    <xf numFmtId="0" fontId="6" fillId="3" borderId="1" xfId="2" applyFont="1" applyFill="1" applyBorder="1"/>
    <xf numFmtId="0" fontId="6" fillId="3" borderId="2" xfId="2" applyFont="1" applyFill="1" applyBorder="1"/>
    <xf numFmtId="0" fontId="6" fillId="3" borderId="3" xfId="2" applyFont="1" applyFill="1" applyBorder="1"/>
    <xf numFmtId="0" fontId="7" fillId="5" borderId="4" xfId="2" applyFont="1" applyFill="1" applyBorder="1"/>
    <xf numFmtId="0" fontId="8" fillId="5" borderId="5" xfId="2" applyFont="1" applyFill="1" applyBorder="1"/>
    <xf numFmtId="0" fontId="6" fillId="4" borderId="7" xfId="2" applyFont="1" applyFill="1" applyBorder="1"/>
    <xf numFmtId="0" fontId="6" fillId="4" borderId="8" xfId="2" applyFont="1" applyFill="1" applyBorder="1" applyAlignment="1">
      <alignment horizontal="right" wrapText="1"/>
    </xf>
    <xf numFmtId="0" fontId="6" fillId="4" borderId="9" xfId="2" applyFont="1" applyFill="1" applyBorder="1" applyAlignment="1">
      <alignment horizontal="right" wrapText="1"/>
    </xf>
    <xf numFmtId="0" fontId="6" fillId="6" borderId="7" xfId="2" applyFont="1" applyFill="1" applyBorder="1"/>
    <xf numFmtId="0" fontId="9" fillId="6" borderId="8" xfId="2" applyFont="1" applyFill="1" applyBorder="1"/>
    <xf numFmtId="0" fontId="9" fillId="6" borderId="9" xfId="2" applyFont="1" applyFill="1" applyBorder="1"/>
    <xf numFmtId="164" fontId="8" fillId="2" borderId="0" xfId="4" applyNumberFormat="1" applyFont="1" applyFill="1" applyBorder="1"/>
    <xf numFmtId="0" fontId="6" fillId="4" borderId="7" xfId="2" applyFont="1" applyFill="1" applyBorder="1" applyAlignment="1">
      <alignment horizontal="right" wrapText="1"/>
    </xf>
    <xf numFmtId="0" fontId="9" fillId="6" borderId="7" xfId="2" applyFont="1" applyFill="1" applyBorder="1"/>
    <xf numFmtId="164" fontId="8" fillId="2" borderId="4" xfId="4" applyNumberFormat="1" applyFont="1" applyFill="1" applyBorder="1"/>
    <xf numFmtId="164" fontId="8" fillId="2" borderId="5" xfId="4" applyNumberFormat="1" applyFont="1" applyFill="1" applyBorder="1"/>
    <xf numFmtId="164" fontId="8" fillId="2" borderId="10" xfId="4" applyNumberFormat="1" applyFont="1" applyFill="1" applyBorder="1"/>
    <xf numFmtId="164" fontId="8" fillId="2" borderId="11" xfId="4" applyNumberFormat="1" applyFont="1" applyFill="1" applyBorder="1"/>
    <xf numFmtId="0" fontId="8" fillId="5" borderId="0" xfId="2" applyFont="1" applyFill="1"/>
    <xf numFmtId="4" fontId="4" fillId="2" borderId="4" xfId="0" applyNumberFormat="1" applyFont="1" applyFill="1" applyBorder="1" applyAlignment="1">
      <alignment horizontal="left"/>
    </xf>
    <xf numFmtId="4" fontId="4" fillId="2" borderId="10" xfId="0" applyNumberFormat="1" applyFont="1" applyFill="1" applyBorder="1" applyAlignment="1">
      <alignment horizontal="left"/>
    </xf>
    <xf numFmtId="0" fontId="11" fillId="2" borderId="0" xfId="0" applyFont="1" applyFill="1" applyAlignment="1">
      <alignment horizontal="left"/>
    </xf>
    <xf numFmtId="14" fontId="11" fillId="2" borderId="0" xfId="0" applyNumberFormat="1" applyFont="1" applyFill="1" applyAlignment="1">
      <alignment horizontal="left"/>
    </xf>
    <xf numFmtId="165" fontId="8" fillId="2" borderId="5" xfId="2" applyNumberFormat="1" applyFont="1" applyFill="1" applyBorder="1" applyAlignment="1">
      <alignment horizontal="right"/>
    </xf>
    <xf numFmtId="165" fontId="8" fillId="2" borderId="1" xfId="2" applyNumberFormat="1" applyFont="1" applyFill="1" applyBorder="1" applyAlignment="1">
      <alignment horizontal="right"/>
    </xf>
    <xf numFmtId="165" fontId="8" fillId="2" borderId="2" xfId="2" applyNumberFormat="1" applyFont="1" applyFill="1" applyBorder="1" applyAlignment="1">
      <alignment horizontal="right"/>
    </xf>
    <xf numFmtId="165" fontId="8" fillId="2" borderId="3" xfId="2" applyNumberFormat="1" applyFont="1" applyFill="1" applyBorder="1" applyAlignment="1">
      <alignment horizontal="right"/>
    </xf>
    <xf numFmtId="165" fontId="8" fillId="2" borderId="4" xfId="2" applyNumberFormat="1" applyFont="1" applyFill="1" applyBorder="1" applyAlignment="1">
      <alignment horizontal="right"/>
    </xf>
    <xf numFmtId="165" fontId="8" fillId="2" borderId="0" xfId="2" applyNumberFormat="1" applyFont="1" applyFill="1" applyAlignment="1">
      <alignment horizontal="right"/>
    </xf>
    <xf numFmtId="165" fontId="8" fillId="2" borderId="10" xfId="2" applyNumberFormat="1" applyFont="1" applyFill="1" applyBorder="1" applyAlignment="1">
      <alignment horizontal="right"/>
    </xf>
    <xf numFmtId="165" fontId="8" fillId="2" borderId="11" xfId="2" applyNumberFormat="1" applyFont="1" applyFill="1" applyBorder="1" applyAlignment="1">
      <alignment horizontal="right"/>
    </xf>
    <xf numFmtId="165" fontId="8" fillId="2" borderId="6" xfId="2" applyNumberFormat="1" applyFont="1" applyFill="1" applyBorder="1" applyAlignment="1">
      <alignment horizontal="right"/>
    </xf>
    <xf numFmtId="164" fontId="8" fillId="2" borderId="1" xfId="4" applyNumberFormat="1" applyFont="1" applyFill="1" applyBorder="1"/>
    <xf numFmtId="164" fontId="8" fillId="2" borderId="2" xfId="4" applyNumberFormat="1" applyFont="1" applyFill="1" applyBorder="1"/>
    <xf numFmtId="164" fontId="8" fillId="2" borderId="3" xfId="4" applyNumberFormat="1" applyFont="1" applyFill="1" applyBorder="1"/>
    <xf numFmtId="0" fontId="4" fillId="8" borderId="2" xfId="0" applyFont="1" applyFill="1" applyBorder="1"/>
    <xf numFmtId="0" fontId="4" fillId="8" borderId="11" xfId="0" applyFont="1" applyFill="1" applyBorder="1"/>
    <xf numFmtId="0" fontId="12" fillId="8" borderId="1" xfId="0" applyFont="1" applyFill="1" applyBorder="1"/>
    <xf numFmtId="0" fontId="12" fillId="8" borderId="10" xfId="0" applyFont="1" applyFill="1" applyBorder="1"/>
    <xf numFmtId="0" fontId="4" fillId="8" borderId="0" xfId="0" applyFont="1" applyFill="1"/>
    <xf numFmtId="0" fontId="6" fillId="4" borderId="1" xfId="2" applyFont="1" applyFill="1" applyBorder="1" applyAlignment="1">
      <alignment horizontal="right" wrapText="1"/>
    </xf>
    <xf numFmtId="0" fontId="6" fillId="4" borderId="2" xfId="2" applyFont="1" applyFill="1" applyBorder="1" applyAlignment="1">
      <alignment horizontal="right" wrapText="1"/>
    </xf>
    <xf numFmtId="165" fontId="12" fillId="8" borderId="2" xfId="0" applyNumberFormat="1" applyFont="1" applyFill="1" applyBorder="1"/>
    <xf numFmtId="165" fontId="12" fillId="8" borderId="3" xfId="0" applyNumberFormat="1" applyFont="1" applyFill="1" applyBorder="1"/>
    <xf numFmtId="165" fontId="12" fillId="8" borderId="11" xfId="0" applyNumberFormat="1" applyFont="1" applyFill="1" applyBorder="1"/>
    <xf numFmtId="165" fontId="12" fillId="8" borderId="6" xfId="0" applyNumberFormat="1" applyFont="1" applyFill="1" applyBorder="1"/>
    <xf numFmtId="4" fontId="4" fillId="2" borderId="1" xfId="0" applyNumberFormat="1" applyFont="1" applyFill="1" applyBorder="1" applyAlignment="1">
      <alignment horizontal="left"/>
    </xf>
    <xf numFmtId="165" fontId="12" fillId="8" borderId="1" xfId="0" applyNumberFormat="1" applyFont="1" applyFill="1" applyBorder="1"/>
    <xf numFmtId="165" fontId="12" fillId="8" borderId="10" xfId="0" applyNumberFormat="1" applyFont="1" applyFill="1" applyBorder="1"/>
    <xf numFmtId="166" fontId="4" fillId="2" borderId="2" xfId="1" applyNumberFormat="1" applyFont="1" applyFill="1" applyBorder="1"/>
    <xf numFmtId="166" fontId="4" fillId="2" borderId="0" xfId="1" applyNumberFormat="1" applyFont="1" applyFill="1" applyBorder="1"/>
    <xf numFmtId="166" fontId="12" fillId="8" borderId="2" xfId="0" applyNumberFormat="1" applyFont="1" applyFill="1" applyBorder="1"/>
    <xf numFmtId="166" fontId="12" fillId="8" borderId="0" xfId="0" applyNumberFormat="1" applyFont="1" applyFill="1"/>
    <xf numFmtId="166" fontId="4" fillId="2" borderId="2" xfId="1" applyNumberFormat="1" applyFont="1" applyFill="1" applyBorder="1" applyAlignment="1">
      <alignment horizontal="right"/>
    </xf>
    <xf numFmtId="0" fontId="6" fillId="4" borderId="1" xfId="0" applyFont="1" applyFill="1" applyBorder="1"/>
    <xf numFmtId="0" fontId="14" fillId="4" borderId="2" xfId="0" applyFont="1" applyFill="1" applyBorder="1"/>
    <xf numFmtId="0" fontId="14" fillId="4" borderId="0" xfId="0" applyFont="1" applyFill="1"/>
    <xf numFmtId="166" fontId="6" fillId="4" borderId="0" xfId="0" applyNumberFormat="1" applyFont="1" applyFill="1"/>
    <xf numFmtId="165" fontId="6" fillId="4" borderId="1" xfId="0" applyNumberFormat="1" applyFont="1" applyFill="1" applyBorder="1"/>
    <xf numFmtId="165" fontId="6" fillId="4" borderId="2" xfId="0" applyNumberFormat="1" applyFont="1" applyFill="1" applyBorder="1"/>
    <xf numFmtId="165" fontId="6" fillId="4" borderId="3" xfId="0" applyNumberFormat="1" applyFont="1" applyFill="1" applyBorder="1"/>
    <xf numFmtId="0" fontId="6" fillId="4" borderId="10" xfId="0" applyFont="1" applyFill="1" applyBorder="1"/>
    <xf numFmtId="0" fontId="14" fillId="4" borderId="11" xfId="0" applyFont="1" applyFill="1" applyBorder="1"/>
    <xf numFmtId="166" fontId="6" fillId="4" borderId="11" xfId="1" applyNumberFormat="1" applyFont="1" applyFill="1" applyBorder="1"/>
    <xf numFmtId="165" fontId="6" fillId="4" borderId="10" xfId="0" applyNumberFormat="1" applyFont="1" applyFill="1" applyBorder="1"/>
    <xf numFmtId="165" fontId="6" fillId="4" borderId="11" xfId="0" applyNumberFormat="1" applyFont="1" applyFill="1" applyBorder="1"/>
    <xf numFmtId="165" fontId="6" fillId="4" borderId="6" xfId="0" applyNumberFormat="1" applyFont="1" applyFill="1" applyBorder="1"/>
    <xf numFmtId="0" fontId="15" fillId="2" borderId="0" xfId="0" quotePrefix="1" applyFont="1" applyFill="1"/>
    <xf numFmtId="0" fontId="10" fillId="2" borderId="0" xfId="0" applyFont="1" applyFill="1"/>
    <xf numFmtId="0" fontId="4" fillId="7" borderId="0" xfId="0" applyFont="1" applyFill="1"/>
    <xf numFmtId="166" fontId="12" fillId="9" borderId="11" xfId="1" applyNumberFormat="1" applyFont="1" applyFill="1" applyBorder="1"/>
    <xf numFmtId="0" fontId="9" fillId="10" borderId="7" xfId="2" applyFont="1" applyFill="1" applyBorder="1"/>
    <xf numFmtId="165" fontId="8" fillId="7" borderId="1" xfId="2" applyNumberFormat="1" applyFont="1" applyFill="1" applyBorder="1" applyAlignment="1">
      <alignment horizontal="right"/>
    </xf>
    <xf numFmtId="165" fontId="8" fillId="7" borderId="4" xfId="2" applyNumberFormat="1" applyFont="1" applyFill="1" applyBorder="1" applyAlignment="1">
      <alignment horizontal="right"/>
    </xf>
    <xf numFmtId="165" fontId="8" fillId="7" borderId="10" xfId="2" applyNumberFormat="1" applyFont="1" applyFill="1" applyBorder="1" applyAlignment="1">
      <alignment horizontal="right"/>
    </xf>
    <xf numFmtId="165" fontId="12" fillId="9" borderId="1" xfId="0" applyNumberFormat="1" applyFont="1" applyFill="1" applyBorder="1"/>
    <xf numFmtId="165" fontId="12" fillId="9" borderId="10" xfId="0" applyNumberFormat="1" applyFont="1" applyFill="1" applyBorder="1"/>
    <xf numFmtId="0" fontId="13" fillId="7" borderId="0" xfId="0" applyFont="1" applyFill="1" applyAlignment="1">
      <alignment horizontal="right"/>
    </xf>
    <xf numFmtId="165" fontId="6" fillId="11" borderId="1" xfId="0" applyNumberFormat="1" applyFont="1" applyFill="1" applyBorder="1"/>
    <xf numFmtId="0" fontId="16" fillId="2" borderId="0" xfId="0" applyFont="1" applyFill="1" applyAlignment="1">
      <alignment horizontal="right"/>
    </xf>
    <xf numFmtId="166" fontId="4" fillId="2" borderId="0" xfId="1" applyNumberFormat="1" applyFont="1" applyFill="1" applyBorder="1" applyAlignment="1">
      <alignment horizontal="right"/>
    </xf>
    <xf numFmtId="166" fontId="4" fillId="2" borderId="5" xfId="1" applyNumberFormat="1" applyFont="1" applyFill="1" applyBorder="1"/>
    <xf numFmtId="166" fontId="4" fillId="2" borderId="6" xfId="1" applyNumberFormat="1" applyFont="1" applyFill="1" applyBorder="1"/>
    <xf numFmtId="14" fontId="4" fillId="2" borderId="0" xfId="0" applyNumberFormat="1" applyFont="1" applyFill="1" applyAlignment="1">
      <alignment horizontal="right"/>
    </xf>
    <xf numFmtId="0" fontId="4" fillId="2" borderId="0" xfId="0" applyFont="1" applyFill="1" applyAlignment="1">
      <alignment horizontal="right"/>
    </xf>
    <xf numFmtId="0" fontId="11" fillId="2" borderId="0" xfId="0" applyFont="1" applyFill="1" applyAlignment="1">
      <alignment horizontal="right"/>
    </xf>
    <xf numFmtId="0" fontId="5" fillId="2" borderId="0" xfId="0" applyFont="1" applyFill="1" applyAlignment="1">
      <alignment horizontal="right"/>
    </xf>
    <xf numFmtId="0" fontId="6" fillId="3" borderId="2" xfId="2" applyFont="1" applyFill="1" applyBorder="1" applyAlignment="1">
      <alignment horizontal="right"/>
    </xf>
    <xf numFmtId="0" fontId="8" fillId="5" borderId="0" xfId="2" applyFont="1" applyFill="1" applyAlignment="1">
      <alignment horizontal="right"/>
    </xf>
    <xf numFmtId="0" fontId="9" fillId="6" borderId="8" xfId="2" applyFont="1" applyFill="1" applyBorder="1" applyAlignment="1">
      <alignment horizontal="right"/>
    </xf>
    <xf numFmtId="164" fontId="8" fillId="2" borderId="2" xfId="4" applyNumberFormat="1" applyFont="1" applyFill="1" applyBorder="1" applyAlignment="1">
      <alignment horizontal="right"/>
    </xf>
    <xf numFmtId="164" fontId="8" fillId="2" borderId="0" xfId="4" applyNumberFormat="1" applyFont="1" applyFill="1" applyBorder="1" applyAlignment="1">
      <alignment horizontal="right"/>
    </xf>
    <xf numFmtId="0" fontId="4" fillId="8" borderId="2" xfId="0" applyFont="1" applyFill="1" applyBorder="1" applyAlignment="1">
      <alignment horizontal="right"/>
    </xf>
    <xf numFmtId="0" fontId="4" fillId="8" borderId="11" xfId="0" applyFont="1" applyFill="1" applyBorder="1" applyAlignment="1">
      <alignment horizontal="right"/>
    </xf>
    <xf numFmtId="0" fontId="14" fillId="4" borderId="2" xfId="0" applyFont="1" applyFill="1" applyBorder="1" applyAlignment="1">
      <alignment horizontal="right"/>
    </xf>
    <xf numFmtId="0" fontId="14" fillId="4" borderId="11" xfId="0" applyFont="1" applyFill="1" applyBorder="1" applyAlignment="1">
      <alignment horizontal="right"/>
    </xf>
    <xf numFmtId="164" fontId="8" fillId="2" borderId="1" xfId="4" applyNumberFormat="1" applyFont="1" applyFill="1" applyBorder="1" applyAlignment="1">
      <alignment horizontal="right"/>
    </xf>
    <xf numFmtId="164" fontId="8" fillId="2" borderId="3" xfId="4" applyNumberFormat="1" applyFont="1" applyFill="1" applyBorder="1" applyAlignment="1">
      <alignment horizontal="right"/>
    </xf>
    <xf numFmtId="164" fontId="8" fillId="2" borderId="4" xfId="4" applyNumberFormat="1" applyFont="1" applyFill="1" applyBorder="1" applyAlignment="1">
      <alignment horizontal="right"/>
    </xf>
    <xf numFmtId="164" fontId="8" fillId="2" borderId="5" xfId="4" applyNumberFormat="1" applyFont="1" applyFill="1" applyBorder="1" applyAlignment="1">
      <alignment horizontal="right"/>
    </xf>
    <xf numFmtId="166" fontId="12" fillId="8" borderId="2" xfId="0" applyNumberFormat="1" applyFont="1" applyFill="1" applyBorder="1" applyAlignment="1">
      <alignment horizontal="right"/>
    </xf>
    <xf numFmtId="165" fontId="12" fillId="9" borderId="1" xfId="0" applyNumberFormat="1" applyFont="1" applyFill="1" applyBorder="1" applyAlignment="1">
      <alignment horizontal="right"/>
    </xf>
    <xf numFmtId="165" fontId="12" fillId="8" borderId="2" xfId="0" applyNumberFormat="1" applyFont="1" applyFill="1" applyBorder="1" applyAlignment="1">
      <alignment horizontal="right"/>
    </xf>
    <xf numFmtId="165" fontId="12" fillId="8" borderId="1" xfId="0" applyNumberFormat="1" applyFont="1" applyFill="1" applyBorder="1" applyAlignment="1">
      <alignment horizontal="right"/>
    </xf>
    <xf numFmtId="165" fontId="12" fillId="8" borderId="3" xfId="0" applyNumberFormat="1" applyFont="1" applyFill="1" applyBorder="1" applyAlignment="1">
      <alignment horizontal="right"/>
    </xf>
    <xf numFmtId="166" fontId="12" fillId="9" borderId="11" xfId="1" applyNumberFormat="1" applyFont="1" applyFill="1" applyBorder="1" applyAlignment="1">
      <alignment horizontal="right"/>
    </xf>
    <xf numFmtId="165" fontId="12" fillId="9" borderId="10" xfId="0" applyNumberFormat="1" applyFont="1" applyFill="1" applyBorder="1" applyAlignment="1">
      <alignment horizontal="right"/>
    </xf>
    <xf numFmtId="165" fontId="12" fillId="8" borderId="11" xfId="0" applyNumberFormat="1" applyFont="1" applyFill="1" applyBorder="1" applyAlignment="1">
      <alignment horizontal="right"/>
    </xf>
    <xf numFmtId="165" fontId="12" fillId="8" borderId="10" xfId="0" applyNumberFormat="1" applyFont="1" applyFill="1" applyBorder="1" applyAlignment="1">
      <alignment horizontal="right"/>
    </xf>
    <xf numFmtId="165" fontId="12" fillId="8" borderId="6" xfId="0" applyNumberFormat="1" applyFont="1" applyFill="1" applyBorder="1" applyAlignment="1">
      <alignment horizontal="right"/>
    </xf>
    <xf numFmtId="0" fontId="9" fillId="6" borderId="7" xfId="2" applyFont="1" applyFill="1" applyBorder="1" applyAlignment="1">
      <alignment horizontal="right"/>
    </xf>
    <xf numFmtId="0" fontId="9" fillId="6" borderId="9" xfId="2" applyFont="1" applyFill="1" applyBorder="1" applyAlignment="1">
      <alignment horizontal="right"/>
    </xf>
    <xf numFmtId="0" fontId="9" fillId="10" borderId="7" xfId="2" applyFont="1" applyFill="1" applyBorder="1" applyAlignment="1">
      <alignment horizontal="right"/>
    </xf>
    <xf numFmtId="166" fontId="4" fillId="2" borderId="5" xfId="1" applyNumberFormat="1" applyFont="1" applyFill="1" applyBorder="1" applyAlignment="1">
      <alignment horizontal="right"/>
    </xf>
    <xf numFmtId="164" fontId="8" fillId="2" borderId="10" xfId="4" applyNumberFormat="1" applyFont="1" applyFill="1" applyBorder="1" applyAlignment="1">
      <alignment horizontal="right"/>
    </xf>
    <xf numFmtId="164" fontId="8" fillId="2" borderId="11" xfId="4" applyNumberFormat="1" applyFont="1" applyFill="1" applyBorder="1" applyAlignment="1">
      <alignment horizontal="right"/>
    </xf>
    <xf numFmtId="166" fontId="4" fillId="2" borderId="6" xfId="1" applyNumberFormat="1" applyFont="1" applyFill="1" applyBorder="1" applyAlignment="1">
      <alignment horizontal="right"/>
    </xf>
    <xf numFmtId="0" fontId="4" fillId="8" borderId="0" xfId="0" applyFont="1" applyFill="1" applyAlignment="1">
      <alignment horizontal="right"/>
    </xf>
    <xf numFmtId="166" fontId="12" fillId="8" borderId="0" xfId="0" applyNumberFormat="1" applyFont="1" applyFill="1" applyAlignment="1">
      <alignment horizontal="right"/>
    </xf>
    <xf numFmtId="0" fontId="14" fillId="4" borderId="0" xfId="0" applyFont="1" applyFill="1" applyAlignment="1">
      <alignment horizontal="right"/>
    </xf>
    <xf numFmtId="166" fontId="6" fillId="4" borderId="0" xfId="0" applyNumberFormat="1" applyFont="1" applyFill="1" applyAlignment="1">
      <alignment horizontal="right"/>
    </xf>
    <xf numFmtId="165" fontId="6" fillId="11" borderId="1" xfId="0" applyNumberFormat="1" applyFont="1" applyFill="1" applyBorder="1" applyAlignment="1">
      <alignment horizontal="right"/>
    </xf>
    <xf numFmtId="165" fontId="6" fillId="4" borderId="2" xfId="0" applyNumberFormat="1" applyFont="1" applyFill="1" applyBorder="1" applyAlignment="1">
      <alignment horizontal="right"/>
    </xf>
    <xf numFmtId="165" fontId="6" fillId="4" borderId="1" xfId="0" applyNumberFormat="1" applyFont="1" applyFill="1" applyBorder="1" applyAlignment="1">
      <alignment horizontal="right"/>
    </xf>
    <xf numFmtId="165" fontId="6" fillId="4" borderId="3" xfId="0" applyNumberFormat="1" applyFont="1" applyFill="1" applyBorder="1" applyAlignment="1">
      <alignment horizontal="right"/>
    </xf>
    <xf numFmtId="166" fontId="6" fillId="4" borderId="11" xfId="1" applyNumberFormat="1" applyFont="1" applyFill="1" applyBorder="1" applyAlignment="1">
      <alignment horizontal="right"/>
    </xf>
    <xf numFmtId="165" fontId="6" fillId="4" borderId="10" xfId="0" applyNumberFormat="1" applyFont="1" applyFill="1" applyBorder="1" applyAlignment="1">
      <alignment horizontal="right"/>
    </xf>
    <xf numFmtId="165" fontId="6" fillId="4" borderId="11" xfId="0" applyNumberFormat="1" applyFont="1" applyFill="1" applyBorder="1" applyAlignment="1">
      <alignment horizontal="right"/>
    </xf>
    <xf numFmtId="165" fontId="6" fillId="4" borderId="6" xfId="0" applyNumberFormat="1" applyFont="1" applyFill="1" applyBorder="1" applyAlignment="1">
      <alignment horizontal="right"/>
    </xf>
    <xf numFmtId="164" fontId="8" fillId="7" borderId="2" xfId="4" applyNumberFormat="1" applyFont="1" applyFill="1" applyBorder="1"/>
    <xf numFmtId="164" fontId="8" fillId="7" borderId="0" xfId="4" applyNumberFormat="1" applyFont="1" applyFill="1" applyBorder="1"/>
  </cellXfs>
  <cellStyles count="5">
    <cellStyle name="Comma 2 2 2" xfId="4" xr:uid="{2B13170C-71A3-499E-B96F-60947718E42A}"/>
    <cellStyle name="Normal" xfId="0" builtinId="0"/>
    <cellStyle name="Normal 10" xfId="2" xr:uid="{C207D22A-4889-4001-990D-7DAC995B5EAB}"/>
    <cellStyle name="Normal 3" xfId="3" xr:uid="{FC407E7D-C786-4608-8399-22916AFD4789}"/>
    <cellStyle name="Percent" xfId="1" builtinId="5"/>
  </cellStyles>
  <dxfs count="2">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Sequeira">
      <a:dk1>
        <a:sysClr val="windowText" lastClr="000000"/>
      </a:dk1>
      <a:lt1>
        <a:sysClr val="window" lastClr="FFFFFF"/>
      </a:lt1>
      <a:dk2>
        <a:srgbClr val="0A1748"/>
      </a:dk2>
      <a:lt2>
        <a:srgbClr val="4ECFE6"/>
      </a:lt2>
      <a:accent1>
        <a:srgbClr val="3091BA"/>
      </a:accent1>
      <a:accent2>
        <a:srgbClr val="FAD043"/>
      </a:accent2>
      <a:accent3>
        <a:srgbClr val="BFBFBF"/>
      </a:accent3>
      <a:accent4>
        <a:srgbClr val="0A1748"/>
      </a:accent4>
      <a:accent5>
        <a:srgbClr val="4ECFE6"/>
      </a:accent5>
      <a:accent6>
        <a:srgbClr val="3091BA"/>
      </a:accent6>
      <a:hlink>
        <a:srgbClr val="FAD043"/>
      </a:hlink>
      <a:folHlink>
        <a:srgbClr val="BFBFB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805E-AB30-4137-964D-21DDB89FDAFF}">
  <dimension ref="A1:A6"/>
  <sheetViews>
    <sheetView workbookViewId="0"/>
  </sheetViews>
  <sheetFormatPr defaultRowHeight="14.4" x14ac:dyDescent="0.3"/>
  <sheetData>
    <row r="1" spans="1:1" x14ac:dyDescent="0.3">
      <c r="A1" t="s">
        <v>72</v>
      </c>
    </row>
    <row r="2" spans="1:1" x14ac:dyDescent="0.3">
      <c r="A2" t="s">
        <v>73</v>
      </c>
    </row>
    <row r="3" spans="1:1" x14ac:dyDescent="0.3">
      <c r="A3" t="s">
        <v>74</v>
      </c>
    </row>
    <row r="4" spans="1:1" x14ac:dyDescent="0.3">
      <c r="A4" t="s">
        <v>75</v>
      </c>
    </row>
    <row r="5" spans="1:1" x14ac:dyDescent="0.3">
      <c r="A5" t="s">
        <v>76</v>
      </c>
    </row>
    <row r="6" spans="1:1" x14ac:dyDescent="0.3">
      <c r="A6"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F142-3445-4821-A6CA-194A5B8BCB92}">
  <dimension ref="A1:C1"/>
  <sheetViews>
    <sheetView workbookViewId="0"/>
  </sheetViews>
  <sheetFormatPr defaultRowHeight="14.4" x14ac:dyDescent="0.3"/>
  <sheetData>
    <row r="1" spans="1:3" x14ac:dyDescent="0.3">
      <c r="A1">
        <v>3</v>
      </c>
      <c r="B1" t="s">
        <v>70</v>
      </c>
      <c r="C1"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2CDD-1596-454D-8362-2D79E3D47890}">
  <dimension ref="B2:X32"/>
  <sheetViews>
    <sheetView tabSelected="1" topLeftCell="B3" zoomScaleNormal="100" workbookViewId="0">
      <selection activeCell="A15" sqref="A15:XFD15"/>
    </sheetView>
  </sheetViews>
  <sheetFormatPr defaultColWidth="9.109375" defaultRowHeight="13.8" outlineLevelRow="1" outlineLevelCol="2" x14ac:dyDescent="0.25"/>
  <cols>
    <col min="1" max="1" width="2.5546875" style="1" customWidth="1"/>
    <col min="2" max="2" width="19.44140625" style="1" bestFit="1" customWidth="1"/>
    <col min="3" max="3" width="50.44140625" style="1" bestFit="1" customWidth="1"/>
    <col min="4" max="4" width="13" style="1" bestFit="1" customWidth="1"/>
    <col min="5" max="5" width="17.5546875" style="1" customWidth="1" outlineLevel="1"/>
    <col min="6" max="6" width="17.5546875" style="1" hidden="1" customWidth="1" outlineLevel="2"/>
    <col min="7" max="7" width="11.44140625" style="1" customWidth="1" outlineLevel="1" collapsed="1"/>
    <col min="8" max="8" width="12.5546875" style="1" customWidth="1"/>
    <col min="9" max="9" width="11.44140625" style="1" bestFit="1" customWidth="1"/>
    <col min="10" max="10" width="15" style="1" customWidth="1"/>
    <col min="11" max="11" width="14" style="1" bestFit="1" customWidth="1" outlineLevel="1"/>
    <col min="12" max="12" width="15.109375" style="1" bestFit="1" customWidth="1"/>
    <col min="13" max="13" width="12.6640625" style="1" customWidth="1" outlineLevel="1"/>
    <col min="14" max="14" width="14.109375" style="1" bestFit="1" customWidth="1"/>
    <col min="15" max="17" width="10.88671875" style="1" customWidth="1"/>
    <col min="18" max="18" width="10.88671875" style="1" customWidth="1" outlineLevel="1"/>
    <col min="19" max="20" width="10.88671875" style="1" customWidth="1"/>
    <col min="21" max="16384" width="9.109375" style="1"/>
  </cols>
  <sheetData>
    <row r="2" spans="2:24" x14ac:dyDescent="0.25">
      <c r="C2" s="1" t="s">
        <v>12</v>
      </c>
      <c r="D2" s="2">
        <v>46079</v>
      </c>
      <c r="E2" s="2"/>
      <c r="F2" s="2"/>
      <c r="G2" s="2"/>
    </row>
    <row r="3" spans="2:24" x14ac:dyDescent="0.25">
      <c r="C3" s="1" t="s">
        <v>50</v>
      </c>
      <c r="D3" s="1" t="s">
        <v>68</v>
      </c>
      <c r="E3" s="73"/>
      <c r="F3" s="73"/>
      <c r="G3" s="73"/>
      <c r="H3" s="72" t="s">
        <v>57</v>
      </c>
    </row>
    <row r="4" spans="2:24" x14ac:dyDescent="0.25">
      <c r="C4" s="1" t="s">
        <v>59</v>
      </c>
      <c r="D4" s="1" t="s">
        <v>28</v>
      </c>
    </row>
    <row r="6" spans="2:24" x14ac:dyDescent="0.25">
      <c r="U6" s="84" t="s">
        <v>55</v>
      </c>
      <c r="V6" s="3"/>
    </row>
    <row r="7" spans="2:24" s="3" customFormat="1" outlineLevel="1" x14ac:dyDescent="0.25">
      <c r="B7" s="3" t="s">
        <v>18</v>
      </c>
      <c r="C7" s="26" t="s">
        <v>17</v>
      </c>
      <c r="D7" s="26" t="s">
        <v>14</v>
      </c>
      <c r="E7" s="26" t="s">
        <v>37</v>
      </c>
      <c r="F7" s="26" t="s">
        <v>53</v>
      </c>
      <c r="G7" s="26" t="s">
        <v>38</v>
      </c>
      <c r="H7" s="26" t="s">
        <v>15</v>
      </c>
      <c r="I7" s="26" t="s">
        <v>16</v>
      </c>
      <c r="J7" s="26" t="s">
        <v>20</v>
      </c>
      <c r="K7" s="26" t="s">
        <v>24</v>
      </c>
      <c r="L7" s="26" t="s">
        <v>30</v>
      </c>
      <c r="M7" s="26" t="s">
        <v>32</v>
      </c>
      <c r="N7" s="26" t="s">
        <v>26</v>
      </c>
      <c r="O7" s="26"/>
      <c r="P7" s="26"/>
      <c r="Q7" s="26"/>
      <c r="R7" s="26"/>
      <c r="S7" s="26" t="s">
        <v>34</v>
      </c>
      <c r="T7" s="26" t="s">
        <v>35</v>
      </c>
      <c r="U7" s="84" t="s">
        <v>56</v>
      </c>
    </row>
    <row r="8" spans="2:24" s="3" customFormat="1" outlineLevel="1" x14ac:dyDescent="0.25">
      <c r="B8" s="3" t="s">
        <v>54</v>
      </c>
      <c r="C8" s="26"/>
      <c r="D8" s="27">
        <f>$D$2</f>
        <v>46079</v>
      </c>
      <c r="E8" s="26" t="s">
        <v>29</v>
      </c>
      <c r="F8" s="26" t="s">
        <v>29</v>
      </c>
      <c r="G8" s="26" t="s">
        <v>29</v>
      </c>
      <c r="H8" s="26" t="s">
        <v>29</v>
      </c>
      <c r="I8" s="27">
        <f>$D$2</f>
        <v>46079</v>
      </c>
      <c r="J8" s="26" t="s">
        <v>22</v>
      </c>
      <c r="K8" s="26" t="s">
        <v>23</v>
      </c>
      <c r="L8" s="26" t="s">
        <v>22</v>
      </c>
      <c r="M8" s="26" t="s">
        <v>22</v>
      </c>
      <c r="N8" s="26" t="s">
        <v>23</v>
      </c>
      <c r="O8" s="26"/>
      <c r="P8" s="26"/>
      <c r="Q8" s="26"/>
      <c r="R8" s="26"/>
      <c r="S8" s="26" t="s">
        <v>22</v>
      </c>
      <c r="T8" s="26" t="s">
        <v>22</v>
      </c>
      <c r="U8" s="84" t="s">
        <v>58</v>
      </c>
    </row>
    <row r="9" spans="2:24" s="3" customFormat="1" outlineLevel="1" x14ac:dyDescent="0.25">
      <c r="B9" s="3" t="s">
        <v>19</v>
      </c>
      <c r="C9" s="4"/>
      <c r="D9" s="4"/>
      <c r="E9" s="4"/>
      <c r="F9" s="4"/>
      <c r="G9" s="4"/>
      <c r="H9" s="4"/>
      <c r="I9" s="4"/>
      <c r="J9" s="4"/>
      <c r="K9" s="4"/>
      <c r="L9" s="4"/>
      <c r="M9" s="4"/>
      <c r="N9" s="4"/>
      <c r="O9" s="4"/>
      <c r="P9" s="4"/>
      <c r="Q9" s="4"/>
      <c r="R9" s="4"/>
      <c r="S9" s="4"/>
      <c r="T9" s="4"/>
      <c r="U9" s="1"/>
      <c r="V9" s="1"/>
    </row>
    <row r="10" spans="2:24" x14ac:dyDescent="0.25">
      <c r="C10" s="5" t="s">
        <v>0</v>
      </c>
      <c r="D10" s="6"/>
      <c r="E10" s="6"/>
      <c r="F10" s="6"/>
      <c r="G10" s="6"/>
      <c r="H10" s="6"/>
      <c r="I10" s="6"/>
      <c r="J10" s="6"/>
      <c r="K10" s="6"/>
      <c r="L10" s="6"/>
      <c r="M10" s="6"/>
      <c r="N10" s="6"/>
      <c r="O10" s="6"/>
      <c r="P10" s="6"/>
      <c r="Q10" s="6"/>
      <c r="R10" s="6"/>
      <c r="S10" s="6"/>
      <c r="T10" s="7"/>
    </row>
    <row r="11" spans="2:24" x14ac:dyDescent="0.25">
      <c r="C11" s="8" t="str">
        <f>CONCATENATE("As at ",TEXT(D2,"[$-1009]mmmm d, yyyy;@")," (Millions $", RIGHT($D$4,3),")")</f>
        <v>As at February 26, 2026 (Millions $CAD)</v>
      </c>
      <c r="D11" s="23"/>
      <c r="E11" s="23"/>
      <c r="F11" s="23"/>
      <c r="G11" s="23"/>
      <c r="H11" s="23"/>
      <c r="I11" s="23"/>
      <c r="J11" s="23"/>
      <c r="K11" s="23"/>
      <c r="L11" s="23"/>
      <c r="M11" s="23"/>
      <c r="N11" s="23"/>
      <c r="O11" s="23"/>
      <c r="P11" s="23"/>
      <c r="Q11" s="23"/>
      <c r="R11" s="23"/>
      <c r="S11" s="23"/>
      <c r="T11" s="9"/>
    </row>
    <row r="12" spans="2:24" ht="31.5" customHeight="1" x14ac:dyDescent="0.25">
      <c r="C12" s="10" t="s">
        <v>1</v>
      </c>
      <c r="D12" s="17" t="s">
        <v>13</v>
      </c>
      <c r="E12" s="11" t="s">
        <v>36</v>
      </c>
      <c r="F12" s="11" t="s">
        <v>51</v>
      </c>
      <c r="G12" s="11" t="s">
        <v>52</v>
      </c>
      <c r="H12" s="11" t="s">
        <v>2</v>
      </c>
      <c r="I12" s="12" t="s">
        <v>3</v>
      </c>
      <c r="J12" s="45" t="s">
        <v>4</v>
      </c>
      <c r="K12" s="46" t="s">
        <v>21</v>
      </c>
      <c r="L12" s="46" t="s">
        <v>5</v>
      </c>
      <c r="M12" s="46" t="s">
        <v>31</v>
      </c>
      <c r="N12" s="46" t="s">
        <v>25</v>
      </c>
      <c r="O12" s="46" t="s">
        <v>6</v>
      </c>
      <c r="P12" s="17" t="s">
        <v>7</v>
      </c>
      <c r="Q12" s="11" t="s">
        <v>8</v>
      </c>
      <c r="R12" s="11" t="s">
        <v>9</v>
      </c>
      <c r="S12" s="17" t="s">
        <v>10</v>
      </c>
      <c r="T12" s="12" t="s">
        <v>11</v>
      </c>
    </row>
    <row r="13" spans="2:24" x14ac:dyDescent="0.25">
      <c r="C13" s="13" t="s">
        <v>47</v>
      </c>
      <c r="D13" s="18"/>
      <c r="E13" s="14"/>
      <c r="F13" s="14"/>
      <c r="G13" s="14"/>
      <c r="H13" s="14"/>
      <c r="I13" s="15"/>
      <c r="J13" s="18"/>
      <c r="K13" s="14"/>
      <c r="L13" s="14"/>
      <c r="M13" s="14"/>
      <c r="N13" s="14"/>
      <c r="O13" s="14"/>
      <c r="P13" s="76"/>
      <c r="Q13" s="14"/>
      <c r="R13" s="14"/>
      <c r="S13" s="18"/>
      <c r="T13" s="15"/>
    </row>
    <row r="14" spans="2:24" x14ac:dyDescent="0.25">
      <c r="B14" s="82" t="s">
        <v>61</v>
      </c>
      <c r="C14" s="51" t="str">
        <f>_xll.SNL.Clients.Office.Excel.Functions.SPG($B14, C$7)</f>
        <v>Advanced Drainage Systems, Inc.</v>
      </c>
      <c r="D14" s="37">
        <f>_xll.SNL.Clients.Office.Excel.Functions.SPG($B14, D$7, D$8,$D$4)</f>
        <v>18351.039025992333</v>
      </c>
      <c r="E14" s="38">
        <f>_xll.SNL.Clients.Office.Excel.Functions.SPG($B14, E$7, E$8, $D$2, $D$4)</f>
        <v>1982.1870503999999</v>
      </c>
      <c r="F14" s="134" t="str">
        <f>_xll.SNL.Clients.Office.Excel.Functions.SPG($B14, F$7, F$8, $D$2, $D$4)</f>
        <v>NA</v>
      </c>
      <c r="G14" s="38">
        <f>_xll.SNL.Clients.Office.Excel.Functions.SPG($B14, G$7, G$8, $D$2, $D$4)</f>
        <v>1382.3494727999998</v>
      </c>
      <c r="H14" s="38">
        <f>_xll.SNL.Clients.Office.Excel.Functions.SPG($B14, H$7, H$8, $D$2, $D$4)</f>
        <v>599.83757759999992</v>
      </c>
      <c r="I14" s="39">
        <f>_xll.SNL.Clients.Office.Excel.Functions.SPG($B14, I$7, I$8, $D$2, $D$4)</f>
        <v>18980.256451152331</v>
      </c>
      <c r="J14" s="37">
        <f>_xll.SNL.Clients.Office.Excel.Functions.SPG($B14, J$7, J$8, $D$2, $D$4)</f>
        <v>4177.2823231900275</v>
      </c>
      <c r="K14" s="38">
        <f>_xll.SNL.Clients.Office.Excel.Functions.SPG($B14, K$7, K$8, $D$2, $D$4)</f>
        <v>4593.4934496791857</v>
      </c>
      <c r="L14" s="38">
        <f>_xll.SNL.Clients.Office.Excel.Functions.SPG($B14, L$7, L$8, $D$2, $D$4)</f>
        <v>1303.9572365730521</v>
      </c>
      <c r="M14" s="37">
        <f>_xll.SNL.Clients.Office.Excel.Functions.SPG($B14, M$7, M$8, $D$2, $D$4)</f>
        <v>39.682684083216834</v>
      </c>
      <c r="N14" s="134">
        <f>_xll.SNL.Clients.Office.Excel.Functions.SPG($B14, N$7, N$8, $D$2, $D$4)+IF(AND($D$3="Yes",$V14&lt;&gt;"IFRS"),$M14,0)</f>
        <v>1455.8389801508233</v>
      </c>
      <c r="O14" s="54">
        <f t="shared" ref="O14:O20" si="0">L14/J14</f>
        <v>0.31215444293390993</v>
      </c>
      <c r="P14" s="77">
        <f>IF(I14/J14&gt;0,I14/J14,"NM")</f>
        <v>4.5436853395769168</v>
      </c>
      <c r="Q14" s="30">
        <f>IF(I14/L14&gt;0,I14/L14,"NM")</f>
        <v>14.555888735304389</v>
      </c>
      <c r="R14" s="30">
        <f>IF(I14/N14&gt;0,I14/N14,"NM")</f>
        <v>13.037332225563844</v>
      </c>
      <c r="S14" s="29">
        <f>IF(_xll.SNL.Clients.Office.Excel.Functions.SPG($B14, S$7, S$8, $D$2)&gt;0,_xll.SNL.Clients.Office.Excel.Functions.SPG($B14, S$7, S$8, $D$2),"NM")</f>
        <v>6.5242100000000001</v>
      </c>
      <c r="T14" s="31">
        <f t="shared" ref="T14:T20" si="1">IF(H14/L14&gt;0,H14/L14,"NM")</f>
        <v>0.46001322802306099</v>
      </c>
      <c r="U14" s="74"/>
      <c r="V14" s="74" t="str">
        <f>_xll.ciqfunctions.udf.CIQ($B14, "IQ_GAAP_BS")</f>
        <v>US GAAP</v>
      </c>
      <c r="X14" s="3" t="str">
        <f>_xll.SNL.Clients.Office.Excel.Functions.SPG($B14, "SP_BUSINESS_DESCRIPTION")</f>
        <v>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incorporated in 1966 and is headquartered in Hilliard, Ohio.</v>
      </c>
    </row>
    <row r="15" spans="2:24" x14ac:dyDescent="0.25">
      <c r="B15" s="82" t="s">
        <v>60</v>
      </c>
      <c r="C15" s="24" t="str">
        <f>_xll.SNL.Clients.Office.Excel.Functions.SPG($B15, C$7)</f>
        <v>Atkore Inc.</v>
      </c>
      <c r="D15" s="19">
        <f>_xll.SNL.Clients.Office.Excel.Functions.SPG($B15, D$7, D$8,$D$4)</f>
        <v>3016.5416519822884</v>
      </c>
      <c r="E15" s="16">
        <f>_xll.SNL.Clients.Office.Excel.Functions.SPG($B15, E$7, E$8, $D$2, $D$4)</f>
        <v>1265.8690311299999</v>
      </c>
      <c r="F15" s="16">
        <f>_xll.SNL.Clients.Office.Excel.Functions.SPG($B15, F$7, F$8, $D$2, $D$4)</f>
        <v>225.50196960000002</v>
      </c>
      <c r="G15" s="16">
        <f>_xll.SNL.Clients.Office.Excel.Functions.SPG($B15, G$7, G$8, $D$2, $D$4)</f>
        <v>606.63939471000003</v>
      </c>
      <c r="H15" s="16">
        <f>_xll.SNL.Clients.Office.Excel.Functions.SPG($B15, H$7, H$8, $D$2, $D$4)</f>
        <v>659.22963642000002</v>
      </c>
      <c r="I15" s="20">
        <f>_xll.SNL.Clients.Office.Excel.Functions.SPG($B15, I$7, I$8, $D$2, $D$4)</f>
        <v>3676.29210857205</v>
      </c>
      <c r="J15" s="19">
        <f>_xll.SNL.Clients.Office.Excel.Functions.SPG($B15, J$7, J$8, $D$2, $D$4)</f>
        <v>3975.5355108322874</v>
      </c>
      <c r="K15" s="16">
        <f>_xll.SNL.Clients.Office.Excel.Functions.SPG($B15, K$7, K$8, $D$2, $D$4)</f>
        <v>4163.0159312663181</v>
      </c>
      <c r="L15" s="16">
        <f>_xll.SNL.Clients.Office.Excel.Functions.SPG($B15, L$7, L$8, $D$2, $D$4)</f>
        <v>459.65621131942987</v>
      </c>
      <c r="M15" s="19">
        <f>_xll.SNL.Clients.Office.Excel.Functions.SPG($B15, M$7, M$8, $D$2, $D$4)</f>
        <v>10.686510116075167</v>
      </c>
      <c r="N15" s="16">
        <f>_xll.SNL.Clients.Office.Excel.Functions.SPG($B15, N$7, N$8, $D$2, $D$4)+IF(AND($D$3="Yes",$V15&lt;&gt;"IFRS"),$M15,0)</f>
        <v>499.06235916737302</v>
      </c>
      <c r="O15" s="55">
        <f t="shared" si="0"/>
        <v>0.11562120626692624</v>
      </c>
      <c r="P15" s="78">
        <f t="shared" ref="P15:P20" si="2">IF(I15/J15&gt;0,I15/J15,"NM")</f>
        <v>0.92472878145727089</v>
      </c>
      <c r="Q15" s="33">
        <f t="shared" ref="Q15:Q20" si="3">IF(I15/L15&gt;0,I15/L15,"NM")</f>
        <v>7.9979167430792675</v>
      </c>
      <c r="R15" s="33">
        <f t="shared" ref="R15:R20" si="4">IF(I15/N15&gt;0,I15/N15,"NM")</f>
        <v>7.3663982887940334</v>
      </c>
      <c r="S15" s="32">
        <f>IF(_xll.SNL.Clients.Office.Excel.Functions.SPG($B15, S$7, S$8, $D$2)&gt;0,_xll.SNL.Clients.Office.Excel.Functions.SPG($B15, S$7, S$8, $D$2),"NM")</f>
        <v>1.569037</v>
      </c>
      <c r="T15" s="28">
        <f t="shared" si="1"/>
        <v>1.4341797634534306</v>
      </c>
      <c r="U15" s="74"/>
      <c r="V15" s="1" t="str">
        <f>_xll.ciqfunctions.udf.CIQ($B15, "IQ_GAAP_BS")</f>
        <v>US GAAP</v>
      </c>
      <c r="X15" s="3" t="str">
        <f>_xll.SNL.Clients.Office.Excel.Functions.SPG($B15, "SP_BUSINESS_DESCRIPTION")</f>
        <v>Atkore Inc. engages in the manufacture and sale of electrical, mechanical, safety, and infrastructure products and solutions in the United States and internationally. It operates through two segments, Electrical, and Safety &amp; Infrastructure. The company offers metal electrical conduit and fittings; plastic pipe conduit and fittings; electrical cable and flexible conduit; and international cable management systems; and mechanical tubes and pipes, metal framing and fittings, construction services, perimeter security, and cable management for the protection and reliability of critical infrastructure. It offers its products under the Allied Tube &amp; Conduit, AFC Cable Systems, Kaf-Tech, Heritage Plastics, Unistrut, Power-Strut, Cope, US Tray, FRE Composites, Calbond, and Calpipe. The company serves various end markets, including new construction; maintenance, repair, and remodel; infrastructure; diversified industrials; alternative power generation; healthcare; data centers; and governments. The company was formerly known as Atkore International Group Inc. and changed its name to Atkore Inc. in February 2021. Atkore Inc. was founded in 1959 and is headquartered in Harvey, Illinois.</v>
      </c>
    </row>
    <row r="16" spans="2:24" x14ac:dyDescent="0.25">
      <c r="B16" s="82" t="s">
        <v>63</v>
      </c>
      <c r="C16" s="24" t="str">
        <f>_xll.SNL.Clients.Office.Excel.Functions.SPG($B16, C$7)</f>
        <v>Russel Metals Inc.</v>
      </c>
      <c r="D16" s="19">
        <f>_xll.SNL.Clients.Office.Excel.Functions.SPG($B16, D$7, D$8,$D$4)</f>
        <v>2694.279595</v>
      </c>
      <c r="E16" s="16">
        <f>_xll.SNL.Clients.Office.Excel.Functions.SPG($B16, E$7, E$8, $D$2, $D$4)</f>
        <v>483.7</v>
      </c>
      <c r="F16" s="16" t="str">
        <f>_xll.SNL.Clients.Office.Excel.Functions.SPG($B16, F$7, F$8, $D$2, $D$4)</f>
        <v>NA</v>
      </c>
      <c r="G16" s="16">
        <f>_xll.SNL.Clients.Office.Excel.Functions.SPG($B16, G$7, G$8, $D$2, $D$4)</f>
        <v>114.60000000000001</v>
      </c>
      <c r="H16" s="16">
        <f>_xll.SNL.Clients.Office.Excel.Functions.SPG($B16, H$7, H$8, $D$2, $D$4)</f>
        <v>369.1</v>
      </c>
      <c r="I16" s="20">
        <f>_xll.SNL.Clients.Office.Excel.Functions.SPG($B16, I$7, I$8, $D$2, $D$4)</f>
        <v>3063.3795949999999</v>
      </c>
      <c r="J16" s="19">
        <f>_xll.SNL.Clients.Office.Excel.Functions.SPG($B16, J$7, J$8, $D$2, $D$4)</f>
        <v>4641.5</v>
      </c>
      <c r="K16" s="16">
        <f>_xll.SNL.Clients.Office.Excel.Functions.SPG($B16, K$7, K$8, $D$2, $D$4)</f>
        <v>5485.3649999999998</v>
      </c>
      <c r="L16" s="16">
        <f>_xll.SNL.Clients.Office.Excel.Functions.SPG($B16, L$7, L$8, $D$2, $D$4)</f>
        <v>333.40000000000003</v>
      </c>
      <c r="M16" s="19">
        <f>_xll.SNL.Clients.Office.Excel.Functions.SPG($B16, M$7, M$8, $D$2, $D$4)</f>
        <v>27.6</v>
      </c>
      <c r="N16" s="135">
        <f>_xll.SNL.Clients.Office.Excel.Functions.SPG($B16, N$7, N$8, $D$2, $D$4)+IF(AND($D$3="Yes",$V16&lt;&gt;"IFRS"),$M16,0)</f>
        <v>395.46899999999999</v>
      </c>
      <c r="O16" s="55">
        <f>L16/J16</f>
        <v>7.1830227297209961E-2</v>
      </c>
      <c r="P16" s="78">
        <f t="shared" si="2"/>
        <v>0.65999775826780138</v>
      </c>
      <c r="Q16" s="33">
        <f t="shared" si="3"/>
        <v>9.1883011247750446</v>
      </c>
      <c r="R16" s="33">
        <f t="shared" si="4"/>
        <v>7.746194000035401</v>
      </c>
      <c r="S16" s="32">
        <f>IF(_xll.SNL.Clients.Office.Excel.Functions.SPG($B16, S$7, S$8, $D$2)&gt;0,_xll.SNL.Clients.Office.Excel.Functions.SPG($B16, S$7, S$8, $D$2),"NM")</f>
        <v>1.697335</v>
      </c>
      <c r="T16" s="28">
        <f t="shared" si="1"/>
        <v>1.1070785842831434</v>
      </c>
      <c r="U16" s="74"/>
      <c r="V16" s="1" t="str">
        <f>_xll.ciqfunctions.udf.CIQ($B16, "IQ_GAAP_BS")</f>
        <v>IFRS</v>
      </c>
      <c r="X16" s="3" t="str">
        <f>_xll.SNL.Clients.Office.Excel.Functions.SPG($B16, "SP_BUSINESS_DESCRIPTION")</f>
        <v>Russel Metals Inc. engages in the distribution of steel and other metal products in Canada and the United States. The company operates through Metals Service Centers, Energy Field Stores, and Steel Distribution segments. The Metal Service Centers segment operates a network of metals service centers, which provide metal products in various sizes, shapes, and specifications, including carbon hot rolled and cold finished steel, pipe and tubular, stainless steel, aluminum, and other non-ferrous specialty metal products. The Energy Field Stores segment offers specialized products, such as flanges, valves, fittings, and other products to energy industry. The Steel Distributors segment sells steel products comprising carbon steel plate, flat rolled products, beams, channels, and pipes to other steel service centers and equipment manufacturers. Russel Metals Inc. was incorporated in 1929 and is headquartered in Mississauga, Canada.</v>
      </c>
    </row>
    <row r="17" spans="2:24" x14ac:dyDescent="0.25">
      <c r="B17" s="82" t="s">
        <v>64</v>
      </c>
      <c r="C17" s="24" t="str">
        <f>_xll.SNL.Clients.Office.Excel.Functions.SPG($B17, C$7)</f>
        <v>Lindsay Corporation</v>
      </c>
      <c r="D17" s="19">
        <f>_xll.SNL.Clients.Office.Excel.Functions.SPG($B17, D$7, D$8,$D$4)</f>
        <v>1917.5935720039947</v>
      </c>
      <c r="E17" s="16">
        <f>_xll.SNL.Clients.Office.Excel.Functions.SPG($B17, E$7, E$8, $D$2, $D$4)</f>
        <v>189.82413044</v>
      </c>
      <c r="F17" s="16">
        <f>_xll.SNL.Clients.Office.Excel.Functions.SPG($B17, F$7, F$8, $D$2, $D$4)</f>
        <v>29.19296576</v>
      </c>
      <c r="G17" s="16">
        <f>_xll.SNL.Clients.Office.Excel.Functions.SPG($B17, G$7, G$8, $D$2, $D$4)</f>
        <v>278.88391132000004</v>
      </c>
      <c r="H17" s="16">
        <f>_xll.SNL.Clients.Office.Excel.Functions.SPG($B17, H$7, H$8, $D$2, $D$4)</f>
        <v>-89.059780879999991</v>
      </c>
      <c r="I17" s="20">
        <f>_xll.SNL.Clients.Office.Excel.Functions.SPG($B17, I$7, I$8, $D$2, $D$4)</f>
        <v>1830.38056954848</v>
      </c>
      <c r="J17" s="19">
        <f>_xll.SNL.Clients.Office.Excel.Functions.SPG($B17, J$7, J$8, $D$2, $D$4)</f>
        <v>933.17521758473868</v>
      </c>
      <c r="K17" s="16">
        <f>_xll.SNL.Clients.Office.Excel.Functions.SPG($B17, K$7, K$8, $D$2, $D$4)</f>
        <v>915.41834782617764</v>
      </c>
      <c r="L17" s="16">
        <f>_xll.SNL.Clients.Office.Excel.Functions.SPG($B17, L$7, L$8, $D$2, $D$4)</f>
        <v>157.97189696199794</v>
      </c>
      <c r="M17" s="19">
        <f>_xll.SNL.Clients.Office.Excel.Functions.SPG($B17, M$7, M$8, $D$2, $D$4)</f>
        <v>7.7134571618936603</v>
      </c>
      <c r="N17" s="16">
        <f>_xll.SNL.Clients.Office.Excel.Functions.SPG($B17, N$7, N$8, $D$2, $D$4)+IF(AND($D$3="Yes",$V17&lt;&gt;"IFRS"),$M17,0)</f>
        <v>149.66945669468092</v>
      </c>
      <c r="O17" s="55">
        <f t="shared" si="0"/>
        <v>0.16928428229251921</v>
      </c>
      <c r="P17" s="78">
        <f>IF(I17/J17&gt;0,I17/J17,"NM")</f>
        <v>1.961454328251349</v>
      </c>
      <c r="Q17" s="33">
        <f>IF(I17/L17&gt;0,I17/L17,"NM")</f>
        <v>11.586748052970462</v>
      </c>
      <c r="R17" s="33">
        <f t="shared" si="4"/>
        <v>12.229486295807003</v>
      </c>
      <c r="S17" s="32">
        <f>IF(_xll.SNL.Clients.Office.Excel.Functions.SPG($B17, S$7, S$8, $D$2)&gt;0,_xll.SNL.Clients.Office.Excel.Functions.SPG($B17, S$7, S$8, $D$2),"NM")</f>
        <v>2.740821</v>
      </c>
      <c r="T17" s="28" t="str">
        <f t="shared" si="1"/>
        <v>NM</v>
      </c>
      <c r="U17" s="74"/>
      <c r="V17" s="1" t="str">
        <f>_xll.ciqfunctions.udf.CIQ($B17, "IQ_GAAP_BS")</f>
        <v>US GAAP</v>
      </c>
      <c r="X17" s="3" t="str">
        <f>_xll.SNL.Clients.Office.Excel.Functions.SPG($B17, "SP_BUSINESS_DESCRIPTION")</f>
        <v>Lindsay Corporation, together with its subsidiaries, provides water management and road infrastructure products and services in the United States and internationally. It operates through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machine-to-machine communication technology solutions and mobile device applications;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moveable barriers to enhance highway safety at locations such as toll booths, end terminals, road marking,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v>
      </c>
    </row>
    <row r="18" spans="2:24" x14ac:dyDescent="0.25">
      <c r="B18" s="82" t="s">
        <v>65</v>
      </c>
      <c r="C18" s="24" t="str">
        <f>_xll.SNL.Clients.Office.Excel.Functions.SPG($B18, C$7)</f>
        <v>NWPX Infrastructure, Inc.</v>
      </c>
      <c r="D18" s="19">
        <f>_xll.SNL.Clients.Office.Excel.Functions.SPG($B18, D$7, D$8,$D$4)</f>
        <v>1073.5731948719394</v>
      </c>
      <c r="E18" s="16">
        <f>_xll.SNL.Clients.Office.Excel.Functions.SPG($B18, E$7, E$8, $D$2, $D$4)</f>
        <v>140.95662048</v>
      </c>
      <c r="F18" s="16">
        <f>_xll.SNL.Clients.Office.Excel.Functions.SPG($B18, F$7, F$8, $D$2, $D$4)</f>
        <v>124.84321823999998</v>
      </c>
      <c r="G18" s="16">
        <f>_xll.SNL.Clients.Office.Excel.Functions.SPG($B18, G$7, G$8, $D$2, $D$4)</f>
        <v>3.1165557599999998</v>
      </c>
      <c r="H18" s="16">
        <f>_xll.SNL.Clients.Office.Excel.Functions.SPG($B18, H$7, H$8, $D$2, $D$4)</f>
        <v>137.84006471999999</v>
      </c>
      <c r="I18" s="20">
        <f>_xll.SNL.Clients.Office.Excel.Functions.SPG($B18, I$7, I$8, $D$2, $D$4)</f>
        <v>1211.1086497589999</v>
      </c>
      <c r="J18" s="19">
        <f>_xll.SNL.Clients.Office.Excel.Functions.SPG($B18, J$7, J$8, $D$2, $D$4)</f>
        <v>735.0239761893198</v>
      </c>
      <c r="K18" s="16">
        <f>_xll.SNL.Clients.Office.Excel.Functions.SPG($B18, K$7, K$8, $D$2, $D$4)</f>
        <v>724.51660590501081</v>
      </c>
      <c r="L18" s="16">
        <f>_xll.SNL.Clients.Office.Excel.Functions.SPG($B18, L$7, L$8, $D$2, $D$4)</f>
        <v>114.42087074456624</v>
      </c>
      <c r="M18" s="19">
        <f>_xll.SNL.Clients.Office.Excel.Functions.SPG($B18, M$7, M$8, $D$2, $D$4)</f>
        <v>16.174157859052851</v>
      </c>
      <c r="N18" s="16">
        <f>_xll.SNL.Clients.Office.Excel.Functions.SPG($B18, N$7, N$8, $D$2, $D$4)+IF(AND($D$3="Yes",$V18&lt;&gt;"IFRS"),$M18,0)</f>
        <v>122.87669114476978</v>
      </c>
      <c r="O18" s="55">
        <f t="shared" si="0"/>
        <v>0.15566957602903406</v>
      </c>
      <c r="P18" s="78">
        <f>IF(I18/J18&gt;0,I18/J18,"NM")</f>
        <v>1.6477131209214531</v>
      </c>
      <c r="Q18" s="33">
        <f>IF(I18/L18&gt;0,I18/L18,"NM")</f>
        <v>10.584683037963286</v>
      </c>
      <c r="R18" s="33">
        <f t="shared" si="4"/>
        <v>9.8562928288173595</v>
      </c>
      <c r="S18" s="32">
        <f>IF(_xll.SNL.Clients.Office.Excel.Functions.SPG($B18, S$7, S$8, $D$2)&gt;0,_xll.SNL.Clients.Office.Excel.Functions.SPG($B18, S$7, S$8, $D$2),"NM")</f>
        <v>1.987587</v>
      </c>
      <c r="T18" s="28">
        <f t="shared" si="1"/>
        <v>1.2046758936812749</v>
      </c>
      <c r="U18" s="74"/>
      <c r="V18" s="1" t="str">
        <f>_xll.ciqfunctions.udf.CIQ($B18, "IQ_GAAP_BS")</f>
        <v>US GAAP</v>
      </c>
      <c r="X18" s="3" t="str">
        <f>_xll.SNL.Clients.Office.Excel.Functions.SPG($B18, "SP_BUSINESS_DESCRIPTION")</f>
        <v>NWPX Infrastructure, Inc., together with its subsidiaries, engages in the manufacture and sale of water-related infrastructure products in North America and Canada. It operates through two segments, Engineered Steel Pressure Pipe (SPP) and Precast Infrastructure and Engineered Systems (Precast). The SPP segment provides large-diameter and high-pressure steel pipeline systems for use in water infrastructure applications, which are primarily related to drinking water systems. Its products are also used for hydroelectric power systems, wastewater systems, seismic resiliency, and other applications. In addition, this segment makes products for industrial plant piping systems and certain structural applications. The Precast segment offers stormwater and wastewater technology products, precast, and reinforced concrete products, including reinforced concrete pipe, manholes, box culverts, vaults and catch basins, pump lift stations, oil water separators, biofiltration units, steel casing pipes, and bar-wrapped concrete cylinder pipes, as well as pipeline system joints, fittings, specialized components, and other environmental and engineered solutions. The company sells its water infrastructure products under the ParkUSA, Geneva Pipe and Precast, Permalok, and Northwest Pipe Company brands primarily to installation contractors. The company was formerly known as Northwest Pipe Company and changed its name to NWPX Infrastructure, Inc. in June 2025. NWPX Infrastructure, Inc. was incorporated in 1966 and is headquartered in Vancouver, Washington.</v>
      </c>
    </row>
    <row r="19" spans="2:24" x14ac:dyDescent="0.25">
      <c r="B19" s="82" t="s">
        <v>66</v>
      </c>
      <c r="C19" s="24" t="str">
        <f>_xll.SNL.Clients.Office.Excel.Functions.SPG($B19, C$7)</f>
        <v>L.B. Foster Company</v>
      </c>
      <c r="D19" s="19">
        <f>_xll.SNL.Clients.Office.Excel.Functions.SPG($B19, D$7, D$8,$D$4)</f>
        <v>450.87090806190508</v>
      </c>
      <c r="E19" s="16">
        <f>_xll.SNL.Clients.Office.Excel.Functions.SPG($B19, E$7, E$8, $D$2, $D$4)</f>
        <v>117.59752403</v>
      </c>
      <c r="F19" s="16">
        <f>_xll.SNL.Clients.Office.Excel.Functions.SPG($B19, F$7, F$8, $D$2, $D$4)</f>
        <v>35.804237450000002</v>
      </c>
      <c r="G19" s="16">
        <f>_xll.SNL.Clients.Office.Excel.Functions.SPG($B19, G$7, G$8, $D$2, $D$4)</f>
        <v>4.8848652299999999</v>
      </c>
      <c r="H19" s="16">
        <f>_xll.SNL.Clients.Office.Excel.Functions.SPG($B19, H$7, H$8, $D$2, $D$4)</f>
        <v>112.71265879999999</v>
      </c>
      <c r="I19" s="20">
        <f>_xll.SNL.Clients.Office.Excel.Functions.SPG($B19, I$7, I$8, $D$2, $D$4)</f>
        <v>562.66164569834996</v>
      </c>
      <c r="J19" s="19">
        <f>_xll.SNL.Clients.Office.Excel.Functions.SPG($B19, J$7, J$8, $D$2, $D$4)</f>
        <v>710.26703700328903</v>
      </c>
      <c r="K19" s="16">
        <f>_xll.SNL.Clients.Office.Excel.Functions.SPG($B19, K$7, K$8, $D$2, $D$4)</f>
        <v>785.09547690003171</v>
      </c>
      <c r="L19" s="16">
        <f>_xll.SNL.Clients.Office.Excel.Functions.SPG($B19, L$7, L$8, $D$2, $D$4)</f>
        <v>49.945863239910672</v>
      </c>
      <c r="M19" s="19">
        <f>_xll.SNL.Clients.Office.Excel.Functions.SPG($B19, M$7, M$8, $D$2, $D$4)</f>
        <v>3.8893288024806001</v>
      </c>
      <c r="N19" s="16">
        <f>_xll.SNL.Clients.Office.Excel.Functions.SPG($B19, N$7, N$8, $D$2, $D$4)+IF(AND($D$3="Yes",$V19&lt;&gt;"IFRS"),$M19,0)</f>
        <v>67.686215238594286</v>
      </c>
      <c r="O19" s="55">
        <f t="shared" si="0"/>
        <v>7.0319838367607343E-2</v>
      </c>
      <c r="P19" s="78">
        <f>IF(I19/J19&gt;0,I19/J19,"NM")</f>
        <v>0.7921832443080763</v>
      </c>
      <c r="Q19" s="33">
        <f t="shared" si="3"/>
        <v>11.265430392015711</v>
      </c>
      <c r="R19" s="33">
        <f t="shared" si="4"/>
        <v>8.3127952082261434</v>
      </c>
      <c r="S19" s="32">
        <f>IF(_xll.SNL.Clients.Office.Excel.Functions.SPG($B19, S$7, S$8, $D$2)&gt;0,_xll.SNL.Clients.Office.Excel.Functions.SPG($B19, S$7, S$8, $D$2),"NM")</f>
        <v>1.8590610000000001</v>
      </c>
      <c r="T19" s="28">
        <f t="shared" si="1"/>
        <v>2.2566965808278132</v>
      </c>
      <c r="U19" s="74"/>
      <c r="V19" s="1" t="str">
        <f>_xll.ciqfunctions.udf.CIQ($B19, "IQ_GAAP_BS")</f>
        <v>US GAAP</v>
      </c>
      <c r="X19" s="3" t="str">
        <f>_xll.SNL.Clients.Office.Excel.Functions.SPG($B19, "SP_BUSINESS_DESCRIPTION")</f>
        <v>L.B. Foster Company provides engineered and manufactured products and services for building and supporting infrastructure in the United States, Canada, the United Kingdom, and internationally. It operates in two segments, Rail, Technologies, and Services; and Infrastructure Solutions. The Rail, Technologies, and Services segment offers new rail to passenger and short line freight railroads, industrial companies, and rail contractors, as well as used rails; rail accessories, such as track spikes, bolts, angle bars, tie plates, and other products; insulated rail joints and related accessories; fixation fasteners, coverboards, and special accessories; and trackwork products. This segment also provides engineered concrete railroad ties, friction management products and application systems, railroad condition monitoring systems and equipment, including wheel impact load detection systems, wayside data collection and management systems, and rockfall, flood, earthworks, and bridge strike monitoring; and aftermarket services. The Infrastructure Solutions segment manufactures precast concrete products for use as restrooms, concession stands, and protective storage buildings under the CXT brand for national, state, and municipal parks; and manufactures sounds walls, bridge beams, box culverts, septic tanks, and other custom pre-stressed and precast concrete products. This segment also provides steel bridge products; corrosion protection solutions; cuts, threads, and paints pipes; threading services for oil and gas production; and protective pipeline coating services. L.B. Foster Company was founded in 1902 and is headquartered in Pittsburgh, Pennsylvania.</v>
      </c>
    </row>
    <row r="20" spans="2:24" ht="13.5" customHeight="1" x14ac:dyDescent="0.25">
      <c r="B20" s="82" t="s">
        <v>41</v>
      </c>
      <c r="C20" s="24" t="str">
        <f>_xll.SNL.Clients.Office.Excel.Functions.SPG($B20, C$7)</f>
        <v>Willdan Group, Inc.</v>
      </c>
      <c r="D20" s="19">
        <f>_xll.SNL.Clients.Office.Excel.Functions.SPG($B20, D$7, D$8,$D$4)</f>
        <v>2415.4110517680001</v>
      </c>
      <c r="E20" s="16">
        <f>_xll.SNL.Clients.Office.Excel.Functions.SPG($B20, E$7, E$8, $D$2, $D$4)</f>
        <v>95.108956800000001</v>
      </c>
      <c r="F20" s="16">
        <f>_xll.SNL.Clients.Office.Excel.Functions.SPG($B20, F$7, F$8, $D$2, $D$4)</f>
        <v>25.3034496</v>
      </c>
      <c r="G20" s="16">
        <f>_xll.SNL.Clients.Office.Excel.Functions.SPG($B20, G$7, G$8, $D$2, $D$4)</f>
        <v>90.493603199999995</v>
      </c>
      <c r="H20" s="16">
        <f>_xll.SNL.Clients.Office.Excel.Functions.SPG($B20, H$7, H$8, $D$2, $D$4)</f>
        <v>4.6153536000000006</v>
      </c>
      <c r="I20" s="20">
        <f>_xll.SNL.Clients.Office.Excel.Functions.SPG($B20, I$7, I$8, $D$2, $D$4)</f>
        <v>2420.0105703480003</v>
      </c>
      <c r="J20" s="19">
        <f>_xll.SNL.Clients.Office.Excel.Functions.SPG($B20, J$7, J$8, $D$2, $D$4)</f>
        <v>952.25613583752931</v>
      </c>
      <c r="K20" s="16">
        <f>_xll.SNL.Clients.Office.Excel.Functions.SPG($B20, K$7, K$8, $D$2, $D$4)</f>
        <v>1014.9084142857395</v>
      </c>
      <c r="L20" s="16">
        <f>_xll.SNL.Clients.Office.Excel.Functions.SPG($B20, L$7, L$8, $D$2, $D$4)</f>
        <v>101.36597450379833</v>
      </c>
      <c r="M20" s="19">
        <f>_xll.SNL.Clients.Office.Excel.Functions.SPG($B20, M$7, M$8, $D$2, $D$4)</f>
        <v>13.576473800873993</v>
      </c>
      <c r="N20" s="16">
        <f>_xll.SNL.Clients.Office.Excel.Functions.SPG($B20, N$7, N$8, $D$2, $D$4)+IF(AND($D$3="Yes",$V20&lt;&gt;"IFRS"),$M20,0)</f>
        <v>137.01128094373419</v>
      </c>
      <c r="O20" s="55">
        <f t="shared" si="0"/>
        <v>0.10644822405333709</v>
      </c>
      <c r="P20" s="78">
        <f t="shared" si="2"/>
        <v>2.5413441607488831</v>
      </c>
      <c r="Q20" s="33">
        <f t="shared" si="3"/>
        <v>23.873993045440699</v>
      </c>
      <c r="R20" s="33">
        <f t="shared" si="4"/>
        <v>17.662856325982496</v>
      </c>
      <c r="S20" s="32">
        <f>IF(_xll.SNL.Clients.Office.Excel.Functions.SPG($B20, S$7, S$8, $D$2)&gt;0,_xll.SNL.Clients.Office.Excel.Functions.SPG($B20, S$7, S$8, $D$2),"NM")</f>
        <v>5.7914870000000001</v>
      </c>
      <c r="T20" s="28">
        <f t="shared" si="1"/>
        <v>4.5531586142123624E-2</v>
      </c>
      <c r="U20" s="74"/>
      <c r="V20" s="1" t="str">
        <f>_xll.ciqfunctions.udf.CIQ($B20, "IQ_GAAP_BS")</f>
        <v>US GAAP</v>
      </c>
      <c r="X20" s="3" t="str">
        <f>_xll.SNL.Clients.Office.Excel.Functions.SPG($B20, "SP_BUSINESS_DESCRIPTION")</f>
        <v>Willdan Group, Inc., together with its subsidiaries, provides professional, technical, and consulting services primarily in the United States. The company operates in two segments, Energy, and Engineering and Consulting. The Energy segment offers comprehensive audit and surveys, program design and implementation, master planning, demand reduction, grid optimization, benchmarking analyses, design engineering, construction management, performance contracting, installation, alternative financing, measurement and verification services, and software and data analytics, as well as energy consulting and engineering, turnkey facility and infrastructure projects, and customer support services. The Engineering and Consulting segment provides building and safety, city engineering and code enforcement, development plan review and inspection, disaster recovery, geotechnical and earthquake engineering, planning and surveying, contract staff support, program and construction management, structural engineering, transportation and traffic engineering, and water resources services. This segment also offers district administration, financial consulting, and federal compliance services. It serves public and governmental agencies, including cities, counties, redevelopment agencies, water districts, school districts, and universities; investor and municipal owned energy utilities; state and federal agencies; and commercial and industrial firms, as well as various other special districts and agencies. Willdan Group, Inc. was founded in 1964 and is headquartered in Anaheim, California.</v>
      </c>
    </row>
    <row r="21" spans="2:24" x14ac:dyDescent="0.25">
      <c r="B21" s="82"/>
      <c r="C21" s="42" t="str">
        <f>_xlfn.CONCAT("Average ",C13)</f>
        <v>Average Infrastructure Services</v>
      </c>
      <c r="D21" s="40"/>
      <c r="E21" s="40"/>
      <c r="F21" s="40"/>
      <c r="G21" s="40"/>
      <c r="H21" s="40"/>
      <c r="I21" s="40"/>
      <c r="J21" s="40"/>
      <c r="K21" s="40"/>
      <c r="L21" s="40"/>
      <c r="M21" s="40"/>
      <c r="N21" s="40"/>
      <c r="O21" s="56">
        <f>AVERAGEIF($U14:$U20,"&lt;&gt;*",O14:O20)</f>
        <v>0.14304682817722056</v>
      </c>
      <c r="P21" s="80">
        <f>AVERAGEIF($U14:$U20,"&lt;&gt;*",P14:P20)</f>
        <v>1.8673009619331074</v>
      </c>
      <c r="Q21" s="47">
        <f>AVERAGEIF($U14:$U20,"&lt;&gt;*",Q14:Q20)</f>
        <v>12.721851590221267</v>
      </c>
      <c r="R21" s="47">
        <f>AVERAGEIF($U14:$U20,"&lt;&gt;*",R14:R20)</f>
        <v>10.88733645331804</v>
      </c>
      <c r="S21" s="52">
        <f>AVERAGEIF($U14:$U20,"&lt;&gt;*",S14:S20)</f>
        <v>3.1670768571428569</v>
      </c>
      <c r="T21" s="48">
        <f>AVERAGEIF($U14:$U20,"&lt;&gt;*",T14:T20)</f>
        <v>1.0846959394018076</v>
      </c>
      <c r="X21" s="3"/>
    </row>
    <row r="22" spans="2:24" x14ac:dyDescent="0.25">
      <c r="B22" s="82"/>
      <c r="C22" s="43" t="str">
        <f>_xlfn.CONCAT("Median ",C13)</f>
        <v>Median Infrastructure Services</v>
      </c>
      <c r="D22" s="41"/>
      <c r="E22" s="41"/>
      <c r="F22" s="41"/>
      <c r="G22" s="41"/>
      <c r="H22" s="41"/>
      <c r="I22" s="41"/>
      <c r="J22" s="41"/>
      <c r="K22" s="41"/>
      <c r="L22" s="41"/>
      <c r="M22" s="41"/>
      <c r="N22" s="41"/>
      <c r="O22" s="75" cm="1">
        <f t="array" ref="O22">MEDIAN(IF($U14:$U20&lt;&gt;"*",O14:O20))</f>
        <v>0.11562120626692624</v>
      </c>
      <c r="P22" s="81" cm="1">
        <f t="array" ref="P22">MEDIAN(IF($U14:$U20&lt;&gt;"*",P14:P20))</f>
        <v>1.6477131209214531</v>
      </c>
      <c r="Q22" s="49" cm="1">
        <f t="array" ref="Q22">MEDIAN(IF($U14:$U20&lt;&gt;"*",Q14:Q20))</f>
        <v>11.265430392015711</v>
      </c>
      <c r="R22" s="49" cm="1">
        <f t="array" ref="R22">MEDIAN(IF($U14:$U20&lt;&gt;"*",R14:R20))</f>
        <v>9.8562928288173595</v>
      </c>
      <c r="S22" s="53" cm="1">
        <f t="array" ref="S22">MEDIAN(IF($U14:$U20&lt;&gt;"*",S14:S20))</f>
        <v>1.987587</v>
      </c>
      <c r="T22" s="50" cm="1">
        <f t="array" ref="T22">MEDIAN(IF($U14:$U20&lt;&gt;"*",T14:T20))</f>
        <v>1.1558772389822092</v>
      </c>
      <c r="X22" s="3"/>
    </row>
    <row r="23" spans="2:24" x14ac:dyDescent="0.25">
      <c r="B23" s="82"/>
      <c r="C23" s="13" t="s">
        <v>67</v>
      </c>
      <c r="D23" s="18"/>
      <c r="E23" s="14"/>
      <c r="F23" s="14"/>
      <c r="G23" s="14"/>
      <c r="H23" s="14"/>
      <c r="I23" s="15"/>
      <c r="J23" s="18"/>
      <c r="K23" s="14"/>
      <c r="L23" s="14"/>
      <c r="M23" s="14"/>
      <c r="N23" s="14"/>
      <c r="O23" s="14"/>
      <c r="P23" s="76"/>
      <c r="Q23" s="14"/>
      <c r="R23" s="14"/>
      <c r="S23" s="18"/>
      <c r="T23" s="15"/>
      <c r="X23" s="3"/>
    </row>
    <row r="24" spans="2:24" x14ac:dyDescent="0.25">
      <c r="B24" s="82" t="s">
        <v>43</v>
      </c>
      <c r="C24" s="51" t="str">
        <f>_xll.SNL.Clients.Office.Excel.Functions.SPG($B24, C$7)</f>
        <v>Quanta Services, Inc.</v>
      </c>
      <c r="D24" s="37">
        <f>_xll.SNL.Clients.Office.Excel.Functions.SPG($B24, D$7, D$8,$D$4)</f>
        <v>115661.69107983643</v>
      </c>
      <c r="E24" s="38">
        <f>_xll.SNL.Clients.Office.Excel.Functions.SPG($B24, E$7, E$8, $D$2, $D$4)</f>
        <v>8801.1562084799989</v>
      </c>
      <c r="F24" s="38">
        <f>_xll.SNL.Clients.Office.Excel.Functions.SPG($B24, F$7, F$8, $D$2, $D$4)</f>
        <v>581.42069375999995</v>
      </c>
      <c r="G24" s="38">
        <f>_xll.SNL.Clients.Office.Excel.Functions.SPG($B24, G$7, G$8, $D$2, $D$4)</f>
        <v>602.61820895999995</v>
      </c>
      <c r="H24" s="38">
        <f>_xll.SNL.Clients.Office.Excel.Functions.SPG($B24, H$7, H$8, $D$2, $D$4)</f>
        <v>8198.5379995200001</v>
      </c>
      <c r="I24" s="39">
        <f>_xll.SNL.Clients.Office.Excel.Functions.SPG($B24, I$7, I$8, $D$2, $D$4)</f>
        <v>123964.7264236792</v>
      </c>
      <c r="J24" s="37">
        <f>_xll.SNL.Clients.Office.Excel.Functions.SPG($B24, J$7, J$8, $D$2, $D$4)</f>
        <v>39796.845511540887</v>
      </c>
      <c r="K24" s="38">
        <f>_xll.SNL.Clients.Office.Excel.Functions.SPG($B24, K$7, K$8, $D$2, $D$4)</f>
        <v>45964.401512271972</v>
      </c>
      <c r="L24" s="38">
        <f>_xll.SNL.Clients.Office.Excel.Functions.SPG($B24, L$7, L$8, $D$2, $D$4)</f>
        <v>5846.5723399618391</v>
      </c>
      <c r="M24" s="37">
        <f>_xll.SNL.Clients.Office.Excel.Functions.SPG($B24, M$7, M$8, $D$2, $D$4)</f>
        <v>2291.8252237274196</v>
      </c>
      <c r="N24" s="38">
        <f>_xll.SNL.Clients.Office.Excel.Functions.SPG($B24, N$7, N$8, $D$2, $D$4)+IF(AND($D$3="Yes",$F24&lt;&gt;0),$M24,0)</f>
        <v>6999.0805393176724</v>
      </c>
      <c r="O24" s="54">
        <f>L24/J24</f>
        <v>0.1469104464138084</v>
      </c>
      <c r="P24" s="77">
        <f>IF(I24/J24&gt;0,I24/J24,"NM")</f>
        <v>3.1149385040512834</v>
      </c>
      <c r="Q24" s="30">
        <f>IF(I24/L24&gt;0,I24/L24,"NM")</f>
        <v>21.202974874076101</v>
      </c>
      <c r="R24" s="30">
        <f>IF(I24/N24&gt;0,I24/N24,"NM")</f>
        <v>17.711573074106145</v>
      </c>
      <c r="S24" s="29">
        <f>IF(_xll.SNL.Clients.Office.Excel.Functions.SPG($B24, S$7, S$8, $D$2)&gt;0,_xll.SNL.Clients.Office.Excel.Functions.SPG($B24, S$7, S$8, $D$2),"NM")</f>
        <v>9.4557959999999994</v>
      </c>
      <c r="T24" s="31">
        <f>IF(H24/L24&gt;0,H24/L24,"NM")</f>
        <v>1.4022811183712323</v>
      </c>
      <c r="V24" s="1" t="str">
        <f>_xll.ciqfunctions.udf.CIQ($B24, "IQ_GAAP_BS")</f>
        <v>US GAAP</v>
      </c>
      <c r="X24" s="3" t="str">
        <f>_xll.SNL.Clients.Office.Excel.Functions.SPG($B24, "SP_BUSINESS_DESCRIPTION")</f>
        <v>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aerial firefighting services; emergency restoration; and other engineering and technical services; design and construction solutions to wireline and wireless communications, cable multi-system operators, technology companies, and other customers; engineering, procurement, new construction, and repair and maintenance services for renewable generation facilities; and training for electric workers, as well as training for the gas distribution and communications industries. Its Underground Utility and Infrastructure Solutions segment is involved in the transportation, distribution, storage, development, and processing of natural gas, oil, and other products, as well as owns and operates large load centers. This segment also engages in the design, engineering, procurement, construction, upgrade, and repair and maintenance services for natural gas systems; pipeline protection, integrity testing, rehabilitation, and replacement services; and catalyst replacement, high-pressure and critical-path turnaround, instrumentation and electrical, piping, fabrication, and storage tank services. The company was formerly known as Fabal Construction, Inc. and changed its name to Quanta Services, Inc. in November 1997. The company was incorporated in 1997 and is headquartered in Houston, Texas.</v>
      </c>
    </row>
    <row r="25" spans="2:24" x14ac:dyDescent="0.25">
      <c r="B25" s="82" t="s">
        <v>44</v>
      </c>
      <c r="C25" s="24" t="str">
        <f>_xll.SNL.Clients.Office.Excel.Functions.SPG($B25, C$7)</f>
        <v>MasTec, Inc.</v>
      </c>
      <c r="D25" s="19">
        <f>_xll.SNL.Clients.Office.Excel.Functions.SPG($B25, D$7, D$8,$D$4)</f>
        <v>30884.824428949974</v>
      </c>
      <c r="E25" s="16">
        <f>_xll.SNL.Clients.Office.Excel.Functions.SPG($B25, E$7, E$8, $D$2, $D$4)</f>
        <v>3837.9993415199997</v>
      </c>
      <c r="F25" s="16">
        <f>_xll.SNL.Clients.Office.Excel.Functions.SPG($B25, F$7, F$8, $D$2, $D$4)</f>
        <v>642.35326655999995</v>
      </c>
      <c r="G25" s="16">
        <f>_xll.SNL.Clients.Office.Excel.Functions.SPG($B25, G$7, G$8, $D$2, $D$4)</f>
        <v>543.00465359999998</v>
      </c>
      <c r="H25" s="16">
        <f>_xll.SNL.Clients.Office.Excel.Functions.SPG($B25, H$7, H$8, $D$2, $D$4)</f>
        <v>3294.9946879200002</v>
      </c>
      <c r="I25" s="20">
        <f>_xll.SNL.Clients.Office.Excel.Functions.SPG($B25, I$7, I$8, $D$2, $D$4)</f>
        <v>34275.434383461332</v>
      </c>
      <c r="J25" s="19">
        <f>_xll.SNL.Clients.Office.Excel.Functions.SPG($B25, J$7, J$8, $D$2, $D$4)</f>
        <v>19981.318594439599</v>
      </c>
      <c r="K25" s="16">
        <f>_xll.SNL.Clients.Office.Excel.Functions.SPG($B25, K$7, K$8, $D$2, $D$4)</f>
        <v>21466.038388504967</v>
      </c>
      <c r="L25" s="16">
        <f>_xll.SNL.Clients.Office.Excel.Functions.SPG($B25, L$7, L$8, $D$2, $D$4)</f>
        <v>2729.1062720805144</v>
      </c>
      <c r="M25" s="19">
        <f>_xll.SNL.Clients.Office.Excel.Functions.SPG($B25, M$7, M$8, $D$2, $D$4)</f>
        <v>1175.658726979196</v>
      </c>
      <c r="N25" s="16">
        <f>_xll.SNL.Clients.Office.Excel.Functions.SPG($B25, N$7, N$8, $D$2, $D$4)+IF(AND($D$3="Yes",$F25&lt;&gt;0),$M25,0)</f>
        <v>3089.6516014664576</v>
      </c>
      <c r="O25" s="55">
        <f>L25/J25</f>
        <v>0.13658289162357734</v>
      </c>
      <c r="P25" s="78">
        <f>IF(I25/J25&gt;0,I25/J25,"NM")</f>
        <v>1.7153739990412593</v>
      </c>
      <c r="Q25" s="33">
        <f>IF(I25/L25&gt;0,I25/L25,"NM")</f>
        <v>12.559215716188181</v>
      </c>
      <c r="R25" s="33">
        <f>IF(I25/N25&gt;0,I25/N25,"NM")</f>
        <v>11.093624396742015</v>
      </c>
      <c r="S25" s="32">
        <f>IF(_xll.SNL.Clients.Office.Excel.Functions.SPG($B25, S$7, S$8, $D$2)&gt;0,_xll.SNL.Clients.Office.Excel.Functions.SPG($B25, S$7, S$8, $D$2),"NM")</f>
        <v>7.0187840000000001</v>
      </c>
      <c r="T25" s="28">
        <f>IF(H25/L25&gt;0,H25/L25,"NM")</f>
        <v>1.2073530157578234</v>
      </c>
      <c r="V25" s="1" t="str">
        <f>_xll.ciqfunctions.udf.CIQ($B25, "IQ_GAAP_BS")</f>
        <v>US GAAP</v>
      </c>
      <c r="X25" s="3" t="str">
        <f>_xll.SNL.Clients.Office.Excel.Functions.SPG($B25, "SP_BUSINESS_DESCRIPTION")</f>
        <v>MasTec, Inc., an infrastructure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service restoration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industrial infrastructure providers, as well as government entities. MasTec, Inc. was founded in 1929 and is headquartered in Coral Gables, Florida.</v>
      </c>
    </row>
    <row r="26" spans="2:24" x14ac:dyDescent="0.25">
      <c r="B26" s="82" t="s">
        <v>69</v>
      </c>
      <c r="C26" s="24" t="str">
        <f>_xll.SNL.Clients.Office.Excel.Functions.SPG($B26, C$7)</f>
        <v>Stantec Inc.</v>
      </c>
      <c r="D26" s="19">
        <f>_xll.SNL.Clients.Office.Excel.Functions.SPG($B26, D$7, D$8,$D$4)</f>
        <v>14866.35145835</v>
      </c>
      <c r="E26" s="16">
        <f>_xll.SNL.Clients.Office.Excel.Functions.SPG($B26, E$7, E$8, $D$2, $D$4)</f>
        <v>2546.9</v>
      </c>
      <c r="F26" s="16" t="str">
        <f>_xll.SNL.Clients.Office.Excel.Functions.SPG($B26, F$7, F$8, $D$2, $D$4)</f>
        <v>NA</v>
      </c>
      <c r="G26" s="16">
        <f>_xll.SNL.Clients.Office.Excel.Functions.SPG($B26, G$7, G$8, $D$2, $D$4)</f>
        <v>404.5</v>
      </c>
      <c r="H26" s="16">
        <f>_xll.SNL.Clients.Office.Excel.Functions.SPG($B26, H$7, H$8, $D$2, $D$4)</f>
        <v>2142.4</v>
      </c>
      <c r="I26" s="20">
        <f>_xll.SNL.Clients.Office.Excel.Functions.SPG($B26, I$7, I$8, $D$2, $D$4)</f>
        <v>17008.751457999999</v>
      </c>
      <c r="J26" s="19">
        <f>_xll.SNL.Clients.Office.Excel.Functions.SPG($B26, J$7, J$8, $D$2, $D$4)</f>
        <v>6494.8</v>
      </c>
      <c r="K26" s="16">
        <f>_xll.SNL.Clients.Office.Excel.Functions.SPG($B26, K$7, K$8, $D$2, $D$4)</f>
        <v>7121.7406200000005</v>
      </c>
      <c r="L26" s="16">
        <f>_xll.SNL.Clients.Office.Excel.Functions.SPG($B26, L$7, L$8, $D$2, $D$4)</f>
        <v>1081.5</v>
      </c>
      <c r="M26" s="19">
        <f>_xll.SNL.Clients.Office.Excel.Functions.SPG($B26, M$7, M$8, $D$2, $D$4)</f>
        <v>133.6</v>
      </c>
      <c r="N26" s="16">
        <f>_xll.SNL.Clients.Office.Excel.Functions.SPG($B26, N$7, N$8, $D$2, $D$4)+IF(AND($D$3="Yes",$F26&lt;&gt;0),$M26,0)</f>
        <v>1397.4737700000001</v>
      </c>
      <c r="O26" s="55">
        <f>L26/J26</f>
        <v>0.16651782964833406</v>
      </c>
      <c r="P26" s="78">
        <f>IF(I26/J26&gt;0,I26/J26,"NM")</f>
        <v>2.6188260543819668</v>
      </c>
      <c r="Q26" s="33">
        <f>IF(I26/L26&gt;0,I26/L26,"NM")</f>
        <v>15.727000885806749</v>
      </c>
      <c r="R26" s="33">
        <f>IF(I26/N26&gt;0,I26/N26,"NM")</f>
        <v>12.171070272038092</v>
      </c>
      <c r="S26" s="32">
        <f>IF(_xll.SNL.Clients.Office.Excel.Functions.SPG($B26, S$7, S$8, $D$2)&gt;0,_xll.SNL.Clients.Office.Excel.Functions.SPG($B26, S$7, S$8, $D$2),"NM")</f>
        <v>4.5877920000000003</v>
      </c>
      <c r="T26" s="28">
        <f>IF(H26/L26&gt;0,H26/L26,"NM")</f>
        <v>1.980952380952381</v>
      </c>
      <c r="V26" s="1" t="str">
        <f>_xll.ciqfunctions.udf.CIQ($B26, "IQ_GAAP_BS")</f>
        <v>IFRS</v>
      </c>
      <c r="X26" s="3" t="str">
        <f>_xll.SNL.Clients.Office.Excel.Functions.SPG($B26, "SP_BUSINESS_DESCRIPTION")</f>
        <v>Stantec Inc. provides professional services in the areas of infrastructure and facilities to private and public sectors in Canada, the United States, and internationally. The company offers evaluation, planning, and designing infrastructure solutions; various permitting, conservation, ecosystem restoration, health sciences, and environmental, social, and governance strategy services; solutions for sustainable water resources, planning, management, and infrastructure;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provides fire engineering, electrical, mechanical, hydraulics, buildings sustainability, and civil expertise services; services in mission critical, academic, civic, cultural, aviation, science and technology, commercial, industrial, and workplace; and delivers services to local authorities, government departments, private clients, and utility companies. Further, the company is involved in the planning, design, construction administration, commissioning, maintenance, decommissioning, and remediation services. Additionally, it offers infrastructure planning, inspection, project management, and construction management services; transportation, buildings, and environmental services; and energy and sustainability, fire safety, civil and structural, and mechanical, electrical and plumbing (MEP) engineering, transport, environmental, and geotechnical services. The company was formerly known as Stanley Technology Group Inc. and changed its name to Stantec Inc. in October 1998. Stantec Inc. was founded in 1954 and is headquartered in Edmonton, Canada.</v>
      </c>
    </row>
    <row r="27" spans="2:24" x14ac:dyDescent="0.25">
      <c r="B27" s="82" t="s">
        <v>27</v>
      </c>
      <c r="C27" s="24" t="str">
        <f>_xll.SNL.Clients.Office.Excel.Functions.SPG($B27, C$7)</f>
        <v>Primoris Services Corporation</v>
      </c>
      <c r="D27" s="19">
        <f>_xll.SNL.Clients.Office.Excel.Functions.SPG($B27, D$7, D$8,$D$4)</f>
        <v>11240.292751221148</v>
      </c>
      <c r="E27" s="16">
        <f>_xll.SNL.Clients.Office.Excel.Functions.SPG($B27, E$7, E$8, $D$2, $D$4)</f>
        <v>1303.798008</v>
      </c>
      <c r="F27" s="16">
        <f>_xll.SNL.Clients.Office.Excel.Functions.SPG($B27, F$7, F$8, $D$2, $D$4)</f>
        <v>659.50872000000004</v>
      </c>
      <c r="G27" s="16">
        <f>_xll.SNL.Clients.Office.Excel.Functions.SPG($B27, G$7, G$8, $D$2, $D$4)</f>
        <v>734.23475999999994</v>
      </c>
      <c r="H27" s="16">
        <f>_xll.SNL.Clients.Office.Excel.Functions.SPG($B27, H$7, H$8, $D$2, $D$4)</f>
        <v>569.56324799999993</v>
      </c>
      <c r="I27" s="20">
        <f>_xll.SNL.Clients.Office.Excel.Functions.SPG($B27, I$7, I$8, $D$2, $D$4)</f>
        <v>11808.597335880422</v>
      </c>
      <c r="J27" s="19">
        <f>_xll.SNL.Clients.Office.Excel.Functions.SPG($B27, J$7, J$8, $D$2, $D$4)</f>
        <v>10584.983578490006</v>
      </c>
      <c r="K27" s="16">
        <f>_xll.SNL.Clients.Office.Excel.Functions.SPG($B27, K$7, K$8, $D$2, $D$4)</f>
        <v>11077.289068460488</v>
      </c>
      <c r="L27" s="16">
        <f>_xll.SNL.Clients.Office.Excel.Functions.SPG($B27, L$7, L$8, $D$2, $D$4)</f>
        <v>954.68729367046058</v>
      </c>
      <c r="M27" s="19">
        <f>_xll.SNL.Clients.Office.Excel.Functions.SPG($B27, M$7, M$8, $D$2, $D$4)</f>
        <v>247.89450511876422</v>
      </c>
      <c r="N27" s="16">
        <f>_xll.SNL.Clients.Office.Excel.Functions.SPG($B27, N$7, N$8, $D$2, $D$4)+IF(AND($D$3="Yes",$F27&lt;&gt;0),$M27,0)</f>
        <v>1028.6622864507549</v>
      </c>
      <c r="O27" s="86">
        <f>L27/J27</f>
        <v>9.0192609803429746E-2</v>
      </c>
      <c r="P27" s="78">
        <f>IF(I27/J27&gt;0,I27/J27,"NM")</f>
        <v>1.1155990227398132</v>
      </c>
      <c r="Q27" s="33">
        <f>IF(I27/L27&gt;0,I27/L27,"NM")</f>
        <v>12.369073532423613</v>
      </c>
      <c r="R27" s="33">
        <f>IF(I27/N27&gt;0,I27/N27,"NM")</f>
        <v>11.479566706605157</v>
      </c>
      <c r="S27" s="32">
        <f>IF(_xll.SNL.Clients.Office.Excel.Functions.SPG($B27, S$7, S$8, $D$2)&gt;0,_xll.SNL.Clients.Office.Excel.Functions.SPG($B27, S$7, S$8, $D$2),"NM")</f>
        <v>4.8865100000000004</v>
      </c>
      <c r="T27" s="28">
        <f>IF(H27/L27&gt;0,H27/L27,"NM")</f>
        <v>0.59659665712132337</v>
      </c>
      <c r="V27" s="1" t="str">
        <f>_xll.ciqfunctions.udf.CIQ($B27, "IQ_GAAP_BS")</f>
        <v>US GAAP</v>
      </c>
      <c r="X27" s="3" t="str">
        <f>_xll.SNL.Clients.Office.Excel.Functions.SPG($B27, "SP_BUSINESS_DESCRIPTION")</f>
        <v>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provides replacement services. Primoris Services Corporation was founded in 1960 and is headquartered in Dallas, Texas.</v>
      </c>
    </row>
    <row r="28" spans="2:24" x14ac:dyDescent="0.25">
      <c r="B28" s="82" t="s">
        <v>46</v>
      </c>
      <c r="C28" s="25" t="str">
        <f>_xll.SNL.Clients.Office.Excel.Functions.SPG($B28, C$7)</f>
        <v>MYR Group Inc.</v>
      </c>
      <c r="D28" s="19">
        <f>_xll.SNL.Clients.Office.Excel.Functions.SPG($B28, D$7, D$8,$D$4)</f>
        <v>5792.7717266762074</v>
      </c>
      <c r="E28" s="16">
        <f>_xll.SNL.Clients.Office.Excel.Functions.SPG($B28, E$7, E$8, $D$2, $D$4)</f>
        <v>141.92326007999998</v>
      </c>
      <c r="F28" s="16">
        <f>_xll.SNL.Clients.Office.Excel.Functions.SPG($B28, F$7, F$8, $D$2, $D$4)</f>
        <v>58.201301759999993</v>
      </c>
      <c r="G28" s="16">
        <f>_xll.SNL.Clients.Office.Excel.Functions.SPG($B28, G$7, G$8, $D$2, $D$4)</f>
        <v>205.88189471999999</v>
      </c>
      <c r="H28" s="16">
        <f>_xll.SNL.Clients.Office.Excel.Functions.SPG($B28, H$7, H$8, $D$2, $D$4)</f>
        <v>-63.95863464</v>
      </c>
      <c r="I28" s="20">
        <f>_xll.SNL.Clients.Office.Excel.Functions.SPG($B28, I$7, I$8, $D$2, $D$4)</f>
        <v>5728.9544320221003</v>
      </c>
      <c r="J28" s="21">
        <f>_xll.SNL.Clients.Office.Excel.Functions.SPG($B28, J$7, J$8, $D$2, $D$4)</f>
        <v>4915.0933805445211</v>
      </c>
      <c r="K28" s="22">
        <f>_xll.SNL.Clients.Office.Excel.Functions.SPG($B28, K$7, K$8, $D$2, $D$4)</f>
        <v>5517.3157538797795</v>
      </c>
      <c r="L28" s="22">
        <f>_xll.SNL.Clients.Office.Excel.Functions.SPG($B28, L$7, L$8, $D$2, $D$4)</f>
        <v>307.58670991549803</v>
      </c>
      <c r="M28" s="21">
        <f>_xll.SNL.Clients.Office.Excel.Functions.SPG($B28, M$7, M$8, $D$2, $D$4)</f>
        <v>25.683626647469662</v>
      </c>
      <c r="N28" s="22">
        <f>_xll.SNL.Clients.Office.Excel.Functions.SPG($B28, N$7, N$8, $D$2, $D$4)+IF(AND($D$3="Yes",$F28&lt;&gt;0),$M28,0)</f>
        <v>408.33152879033634</v>
      </c>
      <c r="O28" s="87">
        <f>L28/J28</f>
        <v>6.2580033806279772E-2</v>
      </c>
      <c r="P28" s="79">
        <f>IF(I28/J28&gt;0,I28/J28,"NM")</f>
        <v>1.1655840466224092</v>
      </c>
      <c r="Q28" s="35">
        <f>IF(I28/L28&gt;0,I28/L28,"NM")</f>
        <v>18.625494039049968</v>
      </c>
      <c r="R28" s="35">
        <f>IF(I28/N28&gt;0,I28/N28,"NM")</f>
        <v>14.030154489891752</v>
      </c>
      <c r="S28" s="34">
        <f>IF(_xll.SNL.Clients.Office.Excel.Functions.SPG($B28, S$7, S$8, $D$2)&gt;0,_xll.SNL.Clients.Office.Excel.Functions.SPG($B28, S$7, S$8, $D$2),"NM")</f>
        <v>6.8483890000000001</v>
      </c>
      <c r="T28" s="36" t="str">
        <f>IF(H28/L28&gt;0,H28/L28,"NM")</f>
        <v>NM</v>
      </c>
      <c r="V28" s="1" t="str">
        <f>_xll.ciqfunctions.udf.CIQ($B28, "IQ_GAAP_BS")</f>
        <v>US GAAP</v>
      </c>
      <c r="X28" s="3" t="str">
        <f>_xll.SNL.Clients.Office.Excel.Functions.SPG($B28, "SP_BUSINESS_DESCRIPTION")</f>
        <v>MYR Group Inc., through its subsidiaries, provides electrical construction services in the United States and Canada. The company operates through two segments: Transmission and Distribution, and Commercial and Industrial. Its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storm, or other related damages. This segment serves as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MYR Group Inc. was founded in 1891 and is headquartered in Thornton, Colorado.</v>
      </c>
    </row>
    <row r="29" spans="2:24" x14ac:dyDescent="0.25">
      <c r="C29" s="42" t="str">
        <f>_xlfn.CONCAT("Average ",C23)</f>
        <v>Average Construction</v>
      </c>
      <c r="D29" s="40"/>
      <c r="E29" s="40"/>
      <c r="F29" s="40"/>
      <c r="G29" s="40"/>
      <c r="H29" s="40"/>
      <c r="I29" s="40"/>
      <c r="J29" s="44"/>
      <c r="K29" s="44"/>
      <c r="L29" s="44"/>
      <c r="M29" s="44"/>
      <c r="N29" s="44"/>
      <c r="O29" s="57">
        <f t="shared" ref="O29:T29" si="5">AVERAGEIF($U24:$U28,"&lt;&gt;*",O24:O28)</f>
        <v>0.12055676225908585</v>
      </c>
      <c r="P29" s="80">
        <f t="shared" si="5"/>
        <v>1.9460643253673466</v>
      </c>
      <c r="Q29" s="47">
        <f t="shared" si="5"/>
        <v>16.096751809508923</v>
      </c>
      <c r="R29" s="47">
        <f t="shared" si="5"/>
        <v>13.297197787876632</v>
      </c>
      <c r="S29" s="52">
        <f t="shared" si="5"/>
        <v>6.5594542000000002</v>
      </c>
      <c r="T29" s="48">
        <f t="shared" si="5"/>
        <v>1.2967957930506901</v>
      </c>
    </row>
    <row r="30" spans="2:24" x14ac:dyDescent="0.25">
      <c r="C30" s="43" t="str">
        <f>_xlfn.CONCAT("Median ",C23)</f>
        <v>Median Construction</v>
      </c>
      <c r="D30" s="41"/>
      <c r="E30" s="41"/>
      <c r="F30" s="41"/>
      <c r="G30" s="41"/>
      <c r="H30" s="41"/>
      <c r="I30" s="41"/>
      <c r="J30" s="41"/>
      <c r="K30" s="41"/>
      <c r="L30" s="41"/>
      <c r="M30" s="41"/>
      <c r="N30" s="41"/>
      <c r="O30" s="75" cm="1">
        <f t="array" ref="O30">MEDIAN(IF($U24:$U28&lt;&gt;"*",O24:O28))</f>
        <v>0.13658289162357734</v>
      </c>
      <c r="P30" s="81" cm="1">
        <f t="array" ref="P30">MEDIAN(IF($U24:$U28&lt;&gt;"*",P24:P28))</f>
        <v>1.7153739990412593</v>
      </c>
      <c r="Q30" s="49" cm="1">
        <f t="array" ref="Q30">MEDIAN(IF($U24:$U28&lt;&gt;"*",Q24:Q28))</f>
        <v>15.727000885806749</v>
      </c>
      <c r="R30" s="49" cm="1">
        <f t="array" ref="R30">MEDIAN(IF($U24:$U28&lt;&gt;"*",R24:R28))</f>
        <v>12.171070272038092</v>
      </c>
      <c r="S30" s="53" cm="1">
        <f t="array" ref="S30">MEDIAN(IF($U24:$U28&lt;&gt;"*",S24:S28))</f>
        <v>6.8483890000000001</v>
      </c>
      <c r="T30" s="50" cm="1">
        <f t="array" ref="T30">MEDIAN(IF($U24:$U28&lt;&gt;"*",T24:T28))</f>
        <v>1.3048170670645278</v>
      </c>
    </row>
    <row r="31" spans="2:24" x14ac:dyDescent="0.25">
      <c r="C31" s="59" t="s">
        <v>48</v>
      </c>
      <c r="D31" s="60"/>
      <c r="E31" s="60"/>
      <c r="F31" s="60"/>
      <c r="G31" s="60"/>
      <c r="H31" s="60"/>
      <c r="I31" s="60"/>
      <c r="J31" s="61"/>
      <c r="K31" s="61"/>
      <c r="L31" s="61"/>
      <c r="M31" s="61"/>
      <c r="N31" s="61"/>
      <c r="O31" s="62" cm="1">
        <f t="array" ref="O31">AVERAGE(_xlfn._xlws.FILTER(O13:O30,(ISBLANK($B13:$B30)=FALSE)*(ISBLANK($U$13:$U$30)=TRUE)))</f>
        <v>0.13367596737799778</v>
      </c>
      <c r="P31" s="83" cm="1">
        <f t="array" ref="P31">AVERAGE(_xlfn._xlws.FILTER(P13:P30,(ISBLANK($B13:$B30)=FALSE)*(ISBLANK($U$13:$U$30)=TRUE)))</f>
        <v>1.9001190300307067</v>
      </c>
      <c r="Q31" s="64" cm="1">
        <f t="array" ref="Q31">AVERAGE(_xlfn._xlws.FILTER(Q13:Q30,(ISBLANK($B13:$B30)=FALSE)*(ISBLANK($U$13:$U$30)=TRUE)))</f>
        <v>14.128060014924458</v>
      </c>
      <c r="R31" s="64" cm="1">
        <f t="array" ref="R31">AVERAGE(_xlfn._xlws.FILTER(R13:R30,(ISBLANK($B13:$B30)=FALSE)*(ISBLANK($U$13:$U$30)=TRUE)))</f>
        <v>11.891445342717454</v>
      </c>
      <c r="S31" s="63" cm="1">
        <f t="array" ref="S31">AVERAGE(_xlfn._xlws.FILTER(S13:S30,(ISBLANK($B13:$B30)=FALSE)*(ISBLANK($U$13:$U$30)=TRUE)))</f>
        <v>4.5805674166666668</v>
      </c>
      <c r="T31" s="65" cm="1">
        <f t="array" ref="T31">AVERAGE(_xlfn._xlws.FILTER(T13:T30,(ISBLANK($B13:$B30)=FALSE)*(ISBLANK($U$13:$U$30)=TRUE)))</f>
        <v>1.1695358808613605</v>
      </c>
    </row>
    <row r="32" spans="2:24" x14ac:dyDescent="0.25">
      <c r="C32" s="66" t="s">
        <v>49</v>
      </c>
      <c r="D32" s="67"/>
      <c r="E32" s="67"/>
      <c r="F32" s="67"/>
      <c r="G32" s="67"/>
      <c r="H32" s="67"/>
      <c r="I32" s="67"/>
      <c r="J32" s="67"/>
      <c r="K32" s="67"/>
      <c r="L32" s="67"/>
      <c r="M32" s="67"/>
      <c r="N32" s="67"/>
      <c r="O32" s="68" cm="1">
        <f t="array" ref="O32">MEDIAN(_xlfn._xlws.FILTER(O13:O30,(ISBLANK($B13:$B30)=FALSE)*(ISBLANK($U$13:$U$30)=TRUE)))</f>
        <v>0.12610204894525179</v>
      </c>
      <c r="P32" s="69" cm="1">
        <f t="array" ref="P32">MEDIAN(_xlfn._xlws.FILTER(P13:P30,(ISBLANK($B13:$B30)=FALSE)*(ISBLANK($U$13:$U$30)=TRUE)))</f>
        <v>1.6815435599813562</v>
      </c>
      <c r="Q32" s="70" cm="1">
        <f t="array" ref="Q32">MEDIAN(_xlfn._xlws.FILTER(Q13:Q30,(ISBLANK($B13:$B30)=FALSE)*(ISBLANK($U$13:$U$30)=TRUE)))</f>
        <v>12.464144624305897</v>
      </c>
      <c r="R32" s="70" cm="1">
        <f t="array" ref="R32">MEDIAN(_xlfn._xlws.FILTER(R13:R30,(ISBLANK($B13:$B30)=FALSE)*(ISBLANK($U$13:$U$30)=TRUE)))</f>
        <v>11.825318489321624</v>
      </c>
      <c r="S32" s="69" cm="1">
        <f t="array" ref="S32">MEDIAN(_xlfn._xlws.FILTER(S13:S30,(ISBLANK($B13:$B30)=FALSE)*(ISBLANK($U$13:$U$30)=TRUE)))</f>
        <v>4.7371510000000008</v>
      </c>
      <c r="T32" s="71" cm="1">
        <f t="array" ref="T32">MEDIAN(_xlfn._xlws.FILTER(T13:T30,(ISBLANK($B13:$B30)=FALSE)*(ISBLANK($U$13:$U$30)=TRUE)))</f>
        <v>1.2060144547195493</v>
      </c>
    </row>
  </sheetData>
  <sortState xmlns:xlrd2="http://schemas.microsoft.com/office/spreadsheetml/2017/richdata2" ref="B24:T28">
    <sortCondition descending="1" ref="D24:D28"/>
  </sortState>
  <phoneticPr fontId="3" type="noConversion"/>
  <conditionalFormatting sqref="C24:T28 C14:T20">
    <cfRule type="expression" dxfId="1" priority="2">
      <formula>MOD(ROW(),2)=0</formula>
    </cfRule>
  </conditionalFormatting>
  <dataValidations count="2">
    <dataValidation type="list" allowBlank="1" showInputMessage="1" showErrorMessage="1" sqref="D3" xr:uid="{62114F9F-821F-4661-89A1-08838C8D2E87}">
      <formula1>"Yes, No"</formula1>
    </dataValidation>
    <dataValidation type="list" allowBlank="1" showInputMessage="1" showErrorMessage="1" sqref="D4" xr:uid="{18744EC4-6425-4D7E-8DCE-A4777212CD5C}">
      <formula1>"Options: Curr=CAD, Options: Curr=USD"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AAA6E-9FDB-4A35-B017-92B1E7885B87}">
  <dimension ref="B2:W33"/>
  <sheetViews>
    <sheetView zoomScale="85" zoomScaleNormal="85" workbookViewId="0">
      <selection activeCell="I6" sqref="I6"/>
    </sheetView>
  </sheetViews>
  <sheetFormatPr defaultColWidth="9.109375" defaultRowHeight="13.8" outlineLevelRow="1" outlineLevelCol="2" x14ac:dyDescent="0.25"/>
  <cols>
    <col min="1" max="1" width="2.5546875" style="1" customWidth="1"/>
    <col min="2" max="2" width="19.44140625" style="1" bestFit="1" customWidth="1"/>
    <col min="3" max="3" width="50.44140625" style="1" bestFit="1" customWidth="1"/>
    <col min="4" max="4" width="13" style="1" bestFit="1" customWidth="1"/>
    <col min="5" max="5" width="17.5546875" style="1" hidden="1" customWidth="1" outlineLevel="1"/>
    <col min="6" max="6" width="17.5546875" style="89" hidden="1" customWidth="1" outlineLevel="2"/>
    <col min="7" max="7" width="11.44140625" style="1" hidden="1" customWidth="1" outlineLevel="1" collapsed="1"/>
    <col min="8" max="8" width="12.5546875" style="1" bestFit="1" customWidth="1" collapsed="1"/>
    <col min="9" max="9" width="11.5546875" style="1" customWidth="1"/>
    <col min="10" max="10" width="12.44140625" style="1" customWidth="1"/>
    <col min="11" max="11" width="12.44140625" style="1" hidden="1" customWidth="1" outlineLevel="1"/>
    <col min="12" max="12" width="12.44140625" style="1" customWidth="1" collapsed="1"/>
    <col min="13" max="14" width="12.44140625" style="1" customWidth="1"/>
    <col min="15" max="16" width="10.88671875" style="1" customWidth="1"/>
    <col min="17" max="17" width="10.88671875" style="1" hidden="1" customWidth="1" outlineLevel="1"/>
    <col min="18" max="18" width="10.88671875" style="1" customWidth="1" collapsed="1"/>
    <col min="19" max="19" width="10.88671875" style="1" customWidth="1"/>
    <col min="20" max="16384" width="9.109375" style="1"/>
  </cols>
  <sheetData>
    <row r="2" spans="2:23" x14ac:dyDescent="0.25">
      <c r="C2" s="1" t="s">
        <v>12</v>
      </c>
      <c r="D2" s="2">
        <f ca="1">TODAY()</f>
        <v>46081</v>
      </c>
      <c r="E2" s="2"/>
      <c r="F2" s="88"/>
      <c r="G2" s="2"/>
    </row>
    <row r="3" spans="2:23" x14ac:dyDescent="0.25">
      <c r="C3" s="1" t="s">
        <v>59</v>
      </c>
      <c r="D3" s="1" t="s">
        <v>28</v>
      </c>
    </row>
    <row r="5" spans="2:23" x14ac:dyDescent="0.25">
      <c r="T5" s="84" t="s">
        <v>55</v>
      </c>
      <c r="U5" s="3"/>
    </row>
    <row r="6" spans="2:23" s="3" customFormat="1" outlineLevel="1" x14ac:dyDescent="0.25">
      <c r="B6" s="3" t="s">
        <v>18</v>
      </c>
      <c r="C6" s="26" t="s">
        <v>17</v>
      </c>
      <c r="D6" s="26" t="s">
        <v>14</v>
      </c>
      <c r="E6" s="26" t="s">
        <v>39</v>
      </c>
      <c r="F6" s="90" t="s">
        <v>53</v>
      </c>
      <c r="G6" s="26" t="s">
        <v>38</v>
      </c>
      <c r="H6" s="26"/>
      <c r="I6" s="26" t="s">
        <v>33</v>
      </c>
      <c r="J6" s="26" t="s">
        <v>20</v>
      </c>
      <c r="K6" s="26" t="s">
        <v>24</v>
      </c>
      <c r="L6" s="26" t="s">
        <v>42</v>
      </c>
      <c r="M6" s="26" t="s">
        <v>26</v>
      </c>
      <c r="N6" s="26"/>
      <c r="O6" s="26"/>
      <c r="P6" s="26"/>
      <c r="Q6" s="26"/>
      <c r="R6" s="26" t="s">
        <v>34</v>
      </c>
      <c r="S6" s="26" t="s">
        <v>35</v>
      </c>
      <c r="T6" s="84" t="s">
        <v>56</v>
      </c>
    </row>
    <row r="7" spans="2:23" s="3" customFormat="1" outlineLevel="1" x14ac:dyDescent="0.25">
      <c r="B7" s="3" t="s">
        <v>54</v>
      </c>
      <c r="C7" s="26"/>
      <c r="D7" s="27">
        <f ca="1">$D$2</f>
        <v>46081</v>
      </c>
      <c r="E7" s="26" t="s">
        <v>29</v>
      </c>
      <c r="F7" s="90" t="s">
        <v>29</v>
      </c>
      <c r="G7" s="26" t="s">
        <v>29</v>
      </c>
      <c r="H7" s="26"/>
      <c r="I7" s="27">
        <f ca="1">$D$2</f>
        <v>46081</v>
      </c>
      <c r="J7" s="26" t="s">
        <v>22</v>
      </c>
      <c r="K7" s="26" t="s">
        <v>23</v>
      </c>
      <c r="L7" s="26" t="s">
        <v>22</v>
      </c>
      <c r="M7" s="26" t="s">
        <v>23</v>
      </c>
      <c r="N7" s="26"/>
      <c r="O7" s="26"/>
      <c r="P7" s="26"/>
      <c r="Q7" s="26"/>
      <c r="R7" s="26" t="s">
        <v>22</v>
      </c>
      <c r="S7" s="26" t="s">
        <v>22</v>
      </c>
      <c r="T7" s="84" t="s">
        <v>58</v>
      </c>
    </row>
    <row r="8" spans="2:23" s="3" customFormat="1" outlineLevel="1" x14ac:dyDescent="0.25">
      <c r="B8" s="3" t="s">
        <v>19</v>
      </c>
      <c r="C8" s="4"/>
      <c r="D8" s="4"/>
      <c r="E8" s="4"/>
      <c r="F8" s="91"/>
      <c r="G8" s="4"/>
      <c r="H8" s="4"/>
      <c r="I8" s="4"/>
      <c r="J8" s="4"/>
      <c r="K8" s="4"/>
      <c r="L8" s="4"/>
      <c r="M8" s="4"/>
      <c r="N8" s="4"/>
      <c r="O8" s="4"/>
      <c r="P8" s="4"/>
      <c r="Q8" s="4"/>
      <c r="R8" s="4"/>
      <c r="S8" s="4"/>
      <c r="T8" s="1"/>
      <c r="U8" s="1"/>
    </row>
    <row r="9" spans="2:23" x14ac:dyDescent="0.25">
      <c r="C9" s="5" t="s">
        <v>0</v>
      </c>
      <c r="D9" s="6"/>
      <c r="E9" s="6"/>
      <c r="F9" s="92"/>
      <c r="G9" s="6"/>
      <c r="H9" s="6"/>
      <c r="I9" s="6"/>
      <c r="J9" s="6"/>
      <c r="K9" s="6"/>
      <c r="L9" s="6"/>
      <c r="M9" s="6"/>
      <c r="N9" s="6"/>
      <c r="O9" s="6"/>
      <c r="P9" s="6"/>
      <c r="Q9" s="6"/>
      <c r="R9" s="6"/>
      <c r="S9" s="7"/>
    </row>
    <row r="10" spans="2:23" x14ac:dyDescent="0.25">
      <c r="C10" s="8" t="str">
        <f ca="1">CONCATENATE("As at ",TEXT(D2,"[$-1009]mmmm d, yyyy;@")," (Millions $", RIGHT($D$3,3),")")</f>
        <v>As at February 28, 2026 (Millions $CAD)</v>
      </c>
      <c r="D10" s="23"/>
      <c r="E10" s="23"/>
      <c r="F10" s="93"/>
      <c r="G10" s="23"/>
      <c r="H10" s="23"/>
      <c r="I10" s="23"/>
      <c r="J10" s="23"/>
      <c r="K10" s="23"/>
      <c r="L10" s="23"/>
      <c r="M10" s="23"/>
      <c r="N10" s="23"/>
      <c r="O10" s="23"/>
      <c r="P10" s="23"/>
      <c r="Q10" s="23"/>
      <c r="R10" s="23"/>
      <c r="S10" s="9"/>
    </row>
    <row r="11" spans="2:23" ht="31.5" customHeight="1" x14ac:dyDescent="0.25">
      <c r="C11" s="10" t="s">
        <v>1</v>
      </c>
      <c r="D11" s="17" t="s">
        <v>13</v>
      </c>
      <c r="E11" s="11" t="s">
        <v>36</v>
      </c>
      <c r="F11" s="11" t="s">
        <v>51</v>
      </c>
      <c r="G11" s="11" t="s">
        <v>52</v>
      </c>
      <c r="H11" s="11" t="s">
        <v>2</v>
      </c>
      <c r="I11" s="12" t="s">
        <v>3</v>
      </c>
      <c r="J11" s="45" t="s">
        <v>4</v>
      </c>
      <c r="K11" s="46" t="s">
        <v>21</v>
      </c>
      <c r="L11" s="46" t="s">
        <v>5</v>
      </c>
      <c r="M11" s="46" t="s">
        <v>25</v>
      </c>
      <c r="N11" s="46" t="s">
        <v>6</v>
      </c>
      <c r="O11" s="17" t="s">
        <v>7</v>
      </c>
      <c r="P11" s="11" t="s">
        <v>8</v>
      </c>
      <c r="Q11" s="11" t="s">
        <v>9</v>
      </c>
      <c r="R11" s="17" t="s">
        <v>10</v>
      </c>
      <c r="S11" s="12" t="s">
        <v>11</v>
      </c>
    </row>
    <row r="12" spans="2:23" x14ac:dyDescent="0.25">
      <c r="C12" s="13" t="s">
        <v>47</v>
      </c>
      <c r="D12" s="18"/>
      <c r="E12" s="14"/>
      <c r="F12" s="94"/>
      <c r="G12" s="14"/>
      <c r="H12" s="14"/>
      <c r="I12" s="15"/>
      <c r="J12" s="18"/>
      <c r="K12" s="14"/>
      <c r="L12" s="14"/>
      <c r="M12" s="14"/>
      <c r="N12" s="14"/>
      <c r="O12" s="76"/>
      <c r="P12" s="14"/>
      <c r="Q12" s="14"/>
      <c r="R12" s="18"/>
      <c r="S12" s="15"/>
    </row>
    <row r="13" spans="2:23" x14ac:dyDescent="0.25">
      <c r="B13" s="82" t="s">
        <v>61</v>
      </c>
      <c r="C13" s="51" t="str">
        <f>_xll.SNL.Clients.Office.Excel.Functions.SPG($B13, C$6)</f>
        <v>Advanced Drainage Systems, Inc.</v>
      </c>
      <c r="D13" s="101">
        <f ca="1">_xll.SNL.Clients.Office.Excel.Functions.SPG($B13, D$6, D$7,$D$3)</f>
        <v>18200.398296493415</v>
      </c>
      <c r="E13" s="95" t="str">
        <f ca="1">_xll.SNL.Clients.Office.Excel.Functions.SPG($B13, E$6, E$7, $D$2, $D$3)</f>
        <v>#PEND</v>
      </c>
      <c r="F13" s="95" t="str">
        <f ca="1">_xll.SNL.Clients.Office.Excel.Functions.SPG($B13, F$6, F$7, $D$2, $D$3)</f>
        <v>NA</v>
      </c>
      <c r="G13" s="95">
        <f ca="1">_xll.SNL.Clients.Office.Excel.Functions.SPG($B13, G$6, G$7, $D$2, $D$3)</f>
        <v>1382.3494727999998</v>
      </c>
      <c r="H13" s="95" t="e">
        <f ca="1">E13-G13</f>
        <v>#VALUE!</v>
      </c>
      <c r="I13" s="102" t="str">
        <f ca="1">_xll.SNL.Clients.Office.Excel.Functions.SPG($B13, I$6, I$7, $D$2, $D$3)</f>
        <v>#PEND</v>
      </c>
      <c r="J13" s="101">
        <f ca="1">_xll.SNL.Clients.Office.Excel.Functions.SPG($B13, J$6, J$7, $D$2, $D$3)</f>
        <v>4177.2823231900275</v>
      </c>
      <c r="K13" s="95">
        <f ca="1">_xll.SNL.Clients.Office.Excel.Functions.SPG($B13, K$6, K$7, $D$2, $D$3)</f>
        <v>4593.4934496791857</v>
      </c>
      <c r="L13" s="95" t="str">
        <f ca="1">_xll.SNL.Clients.Office.Excel.Functions.SPG($B13, L$6, L$7, $D$2, $D$3)</f>
        <v>#PEND</v>
      </c>
      <c r="M13" s="95">
        <f ca="1">_xll.SNL.Clients.Office.Excel.Functions.SPG($B13, M$6, M$7, $D$2, $D$3)</f>
        <v>1416.1562960676065</v>
      </c>
      <c r="N13" s="58" t="e">
        <f t="shared" ref="N13:N21" ca="1" si="0">L13/J13</f>
        <v>#VALUE!</v>
      </c>
      <c r="O13" s="77" t="e">
        <f t="shared" ref="O13:O21" ca="1" si="1">IF(I13/J13&gt;0,I13/J13,"NM")</f>
        <v>#VALUE!</v>
      </c>
      <c r="P13" s="30" t="e">
        <f t="shared" ref="P13:P21" ca="1" si="2">IF(I13/L13&gt;0,I13/L13,"NM")</f>
        <v>#VALUE!</v>
      </c>
      <c r="Q13" s="30" t="e">
        <f t="shared" ref="Q13:Q21" ca="1" si="3">IF(I13/M13&gt;0,I13/M13,"NM")</f>
        <v>#VALUE!</v>
      </c>
      <c r="R13" s="29">
        <f ca="1">IF(_xll.SNL.Clients.Office.Excel.Functions.SPG($B13, R$6, R$7, $D$2)&gt;0,_xll.SNL.Clients.Office.Excel.Functions.SPG($B13, R$6, R$7, $D$2),"NM")</f>
        <v>6.4916270000000003</v>
      </c>
      <c r="S13" s="31" t="e">
        <f ca="1">H13/L13</f>
        <v>#VALUE!</v>
      </c>
      <c r="T13" s="74"/>
      <c r="U13" s="1" t="str">
        <f ca="1">IF(F13&gt;0,"US GAAP","IFRS or No Leases")</f>
        <v>US GAAP</v>
      </c>
      <c r="W13" s="3" t="str">
        <f>_xll.SNL.Clients.Office.Excel.Functions.SPG($B13, "SP_BUSINESS_DESCRIPTION")</f>
        <v>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incorporated in 1966 and is headquartered in Hilliard, Ohio.</v>
      </c>
    </row>
    <row r="14" spans="2:23" x14ac:dyDescent="0.25">
      <c r="B14" s="82" t="s">
        <v>62</v>
      </c>
      <c r="C14" s="24" t="str">
        <f>_xll.SNL.Clients.Office.Excel.Functions.SPG($B14, C$6)</f>
        <v>Mueller Water Products, Inc.</v>
      </c>
      <c r="D14" s="103">
        <f ca="1">_xll.SNL.Clients.Office.Excel.Functions.SPG($B14, D$6, D$7,$D$3)</f>
        <v>6382.8109402500049</v>
      </c>
      <c r="E14" s="96" t="str">
        <f ca="1">_xll.SNL.Clients.Office.Excel.Functions.SPG($B14, E$6, E$7, $D$2, $D$3)</f>
        <v>#PEND</v>
      </c>
      <c r="F14" s="96" t="str">
        <f ca="1">_xll.SNL.Clients.Office.Excel.Functions.SPG($B14, F$6, F$7, $D$2, $D$3)</f>
        <v>NA</v>
      </c>
      <c r="G14" s="96">
        <f ca="1">_xll.SNL.Clients.Office.Excel.Functions.SPG($B14, G$6, G$7, $D$2, $D$3)</f>
        <v>630.16675199999997</v>
      </c>
      <c r="H14" s="96" t="e">
        <f t="shared" ref="H14:H21" ca="1" si="4">E14-G14</f>
        <v>#VALUE!</v>
      </c>
      <c r="I14" s="104" t="str">
        <f ca="1">_xll.SNL.Clients.Office.Excel.Functions.SPG($B14, I$6, I$7, $D$2, $D$3)</f>
        <v>#PEND</v>
      </c>
      <c r="J14" s="103">
        <f ca="1">_xll.SNL.Clients.Office.Excel.Functions.SPG($B14, J$6, J$7, $D$2, $D$3)</f>
        <v>2017.2520157240588</v>
      </c>
      <c r="K14" s="96">
        <f ca="1">_xll.SNL.Clients.Office.Excel.Functions.SPG($B14, K$6, K$7, $D$2, $D$3)</f>
        <v>2048.3845780108363</v>
      </c>
      <c r="L14" s="96" t="str">
        <f ca="1">_xll.SNL.Clients.Office.Excel.Functions.SPG($B14, L$6, L$7, $D$2, $D$3)</f>
        <v>#PEND</v>
      </c>
      <c r="M14" s="96">
        <f ca="1">_xll.SNL.Clients.Office.Excel.Functions.SPG($B14, M$6, M$7, $D$2, $D$3)</f>
        <v>497.8502933982266</v>
      </c>
      <c r="N14" s="85" t="e">
        <f t="shared" ca="1" si="0"/>
        <v>#VALUE!</v>
      </c>
      <c r="O14" s="78" t="e">
        <f t="shared" ca="1" si="1"/>
        <v>#VALUE!</v>
      </c>
      <c r="P14" s="33" t="e">
        <f t="shared" ca="1" si="2"/>
        <v>#VALUE!</v>
      </c>
      <c r="Q14" s="33" t="e">
        <f t="shared" ca="1" si="3"/>
        <v>#VALUE!</v>
      </c>
      <c r="R14" s="32">
        <f ca="1">IF(_xll.SNL.Clients.Office.Excel.Functions.SPG($B14, R$6, R$7, $D$2)&gt;0,_xll.SNL.Clients.Office.Excel.Functions.SPG($B14, R$6, R$7, $D$2),"NM")</f>
        <v>4.5961299999999996</v>
      </c>
      <c r="S14" s="28" t="e">
        <f t="shared" ref="S14:S21" ca="1" si="5">IF(H14/L14&gt;0,H14/L14,"NM")</f>
        <v>#VALUE!</v>
      </c>
      <c r="T14" s="74"/>
      <c r="U14" s="1" t="str">
        <f t="shared" ref="U14:U21" ca="1" si="6">IF(F14&gt;0,"US GAAP","IFRS or No Leases")</f>
        <v>US GAAP</v>
      </c>
      <c r="W14" s="3" t="str">
        <f>_xll.SNL.Clients.Office.Excel.Functions.SPG($B14, "SP_BUSINESS_DESCRIPTION")</f>
        <v>Mueller Water Products, Inc. manufactures and markets products and services for the transmission, distribution, and measurement of water used by municipalities, and the residential and non-residential construction industries in the United States, Israel,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The company was founded in 1857 and is headquartered in Atlanta, Georgia.</v>
      </c>
    </row>
    <row r="15" spans="2:23" x14ac:dyDescent="0.25">
      <c r="B15" s="82" t="s">
        <v>60</v>
      </c>
      <c r="C15" s="24" t="str">
        <f>_xll.SNL.Clients.Office.Excel.Functions.SPG($B15, C$6)</f>
        <v>Atkore Inc.</v>
      </c>
      <c r="D15" s="103">
        <f ca="1">_xll.SNL.Clients.Office.Excel.Functions.SPG($B15, D$6, D$7,$D$3)</f>
        <v>2978.2605297067626</v>
      </c>
      <c r="E15" s="96" t="str">
        <f ca="1">_xll.SNL.Clients.Office.Excel.Functions.SPG($B15, E$6, E$7, $D$2, $D$3)</f>
        <v>#PEND</v>
      </c>
      <c r="F15" s="96">
        <f ca="1">_xll.SNL.Clients.Office.Excel.Functions.SPG($B15, F$6, F$7, $D$2, $D$3)</f>
        <v>225.50196960000002</v>
      </c>
      <c r="G15" s="96">
        <f ca="1">_xll.SNL.Clients.Office.Excel.Functions.SPG($B15, G$6, G$7, $D$2, $D$3)</f>
        <v>606.63939471000003</v>
      </c>
      <c r="H15" s="96" t="e">
        <f t="shared" ca="1" si="4"/>
        <v>#VALUE!</v>
      </c>
      <c r="I15" s="104" t="str">
        <f ca="1">_xll.SNL.Clients.Office.Excel.Functions.SPG($B15, I$6, I$7, $D$2, $D$3)</f>
        <v>#PEND</v>
      </c>
      <c r="J15" s="103">
        <f ca="1">_xll.SNL.Clients.Office.Excel.Functions.SPG($B15, J$6, J$7, $D$2, $D$3)</f>
        <v>3975.5355108322874</v>
      </c>
      <c r="K15" s="96">
        <f ca="1">_xll.SNL.Clients.Office.Excel.Functions.SPG($B15, K$6, K$7, $D$2, $D$3)</f>
        <v>4163.0159312663181</v>
      </c>
      <c r="L15" s="96" t="str">
        <f ca="1">_xll.SNL.Clients.Office.Excel.Functions.SPG($B15, L$6, L$7, $D$2, $D$3)</f>
        <v>#PEND</v>
      </c>
      <c r="M15" s="96">
        <f ca="1">_xll.SNL.Clients.Office.Excel.Functions.SPG($B15, M$6, M$7, $D$2, $D$3)</f>
        <v>488.37584905129785</v>
      </c>
      <c r="N15" s="85" t="e">
        <f t="shared" ca="1" si="0"/>
        <v>#VALUE!</v>
      </c>
      <c r="O15" s="78" t="e">
        <f t="shared" ca="1" si="1"/>
        <v>#VALUE!</v>
      </c>
      <c r="P15" s="33" t="e">
        <f t="shared" ca="1" si="2"/>
        <v>#VALUE!</v>
      </c>
      <c r="Q15" s="33" t="e">
        <f t="shared" ca="1" si="3"/>
        <v>#VALUE!</v>
      </c>
      <c r="R15" s="32">
        <f ca="1">IF(_xll.SNL.Clients.Office.Excel.Functions.SPG($B15, R$6, R$7, $D$2)&gt;0,_xll.SNL.Clients.Office.Excel.Functions.SPG($B15, R$6, R$7, $D$2),"NM")</f>
        <v>1.5541469999999999</v>
      </c>
      <c r="S15" s="28" t="e">
        <f t="shared" ca="1" si="5"/>
        <v>#VALUE!</v>
      </c>
      <c r="T15" s="74"/>
      <c r="U15" s="1" t="str">
        <f t="shared" ca="1" si="6"/>
        <v>US GAAP</v>
      </c>
      <c r="W15" s="3" t="str">
        <f>_xll.SNL.Clients.Office.Excel.Functions.SPG($B15, "SP_BUSINESS_DESCRIPTION")</f>
        <v>Atkore Inc. engages in the manufacture and sale of electrical, mechanical, safety, and infrastructure products and solutions in the United States and internationally. The company offers metal electrical conduit and fittings, plastic pipe conduit and fittings, electrical cable and flexible conduit, and international cable management systems; and mechanical tubes and pipes, metal framing and fittings, construction services, perimeter security, and cable management for the protection and reliability of critical infrastructure. The company offers its products under the Allied Tube &amp; Conduit, AFC Cable Systems, Kaf-Tech, Heritage Plastics, Unistrut, Power-Strut, Cope, US Tray, FRE Composites, United Poly Systems, Calbond, and Calpipe. It serves various end markets, including new construction; maintenance, repair, and remodel; infrastructure; diversified industrials; alternative power generation; healthcare; data centers; and governments through electrical, industrial, and specialty distributors, as well as original equipment manufacturers. The company was formerly known as Atkore International Group Inc. and changed its name to Atkore Inc. in February 2021. Atkore Inc. was founded in 1959 and is headquartered in Harvey, Illinois.</v>
      </c>
    </row>
    <row r="16" spans="2:23" x14ac:dyDescent="0.25">
      <c r="B16" s="82" t="s">
        <v>63</v>
      </c>
      <c r="C16" s="24" t="str">
        <f>_xll.SNL.Clients.Office.Excel.Functions.SPG($B16, C$6)</f>
        <v>Russel Metals Inc.</v>
      </c>
      <c r="D16" s="103">
        <f ca="1">_xll.SNL.Clients.Office.Excel.Functions.SPG($B16, D$6, D$7,$D$3)</f>
        <v>2642.57231</v>
      </c>
      <c r="E16" s="96" t="str">
        <f ca="1">_xll.SNL.Clients.Office.Excel.Functions.SPG($B16, E$6, E$7, $D$2, $D$3)</f>
        <v>#PEND</v>
      </c>
      <c r="F16" s="96" t="str">
        <f ca="1">_xll.SNL.Clients.Office.Excel.Functions.SPG($B16, F$6, F$7, $D$2, $D$3)</f>
        <v>NA</v>
      </c>
      <c r="G16" s="96">
        <f ca="1">_xll.SNL.Clients.Office.Excel.Functions.SPG($B16, G$6, G$7, $D$2, $D$3)</f>
        <v>114.60000000000001</v>
      </c>
      <c r="H16" s="96" t="e">
        <f t="shared" ca="1" si="4"/>
        <v>#VALUE!</v>
      </c>
      <c r="I16" s="104" t="str">
        <f ca="1">_xll.SNL.Clients.Office.Excel.Functions.SPG($B16, I$6, I$7, $D$2, $D$3)</f>
        <v>#PEND</v>
      </c>
      <c r="J16" s="103">
        <f ca="1">_xll.SNL.Clients.Office.Excel.Functions.SPG($B16, J$6, J$7, $D$2, $D$3)</f>
        <v>4641.5</v>
      </c>
      <c r="K16" s="96">
        <f ca="1">_xll.SNL.Clients.Office.Excel.Functions.SPG($B16, K$6, K$7, $D$2, $D$3)</f>
        <v>5485.3649999999998</v>
      </c>
      <c r="L16" s="96" t="str">
        <f ca="1">_xll.SNL.Clients.Office.Excel.Functions.SPG($B16, L$6, L$7, $D$2, $D$3)</f>
        <v>#PEND</v>
      </c>
      <c r="M16" s="96">
        <f ca="1">_xll.SNL.Clients.Office.Excel.Functions.SPG($B16, M$6, M$7, $D$2, $D$3)</f>
        <v>395.46899999999999</v>
      </c>
      <c r="N16" s="85" t="e">
        <f t="shared" ca="1" si="0"/>
        <v>#VALUE!</v>
      </c>
      <c r="O16" s="78" t="e">
        <f t="shared" ca="1" si="1"/>
        <v>#VALUE!</v>
      </c>
      <c r="P16" s="33" t="e">
        <f t="shared" ca="1" si="2"/>
        <v>#VALUE!</v>
      </c>
      <c r="Q16" s="33" t="e">
        <f t="shared" ca="1" si="3"/>
        <v>#VALUE!</v>
      </c>
      <c r="R16" s="32">
        <f ca="1">IF(_xll.SNL.Clients.Office.Excel.Functions.SPG($B16, R$6, R$7, $D$2)&gt;0,_xll.SNL.Clients.Office.Excel.Functions.SPG($B16, R$6, R$7, $D$2),"NM")</f>
        <v>1.6647609999999999</v>
      </c>
      <c r="S16" s="28" t="e">
        <f t="shared" ca="1" si="5"/>
        <v>#VALUE!</v>
      </c>
      <c r="T16" s="74"/>
      <c r="U16" s="1" t="str">
        <f t="shared" ca="1" si="6"/>
        <v>US GAAP</v>
      </c>
      <c r="W16" s="3" t="str">
        <f>_xll.SNL.Clients.Office.Excel.Functions.SPG($B16, "SP_BUSINESS_DESCRIPTION")</f>
        <v>Russel Metals Inc. engages in the distribution of steel and other metal products in Canada and the United States. It operates in three segments: Metals Service Centers, Energy Field Stores, and Steel Distribution. The Metal Service Centers segment operates a network of metals service centers, which provide metal products in various sizes, shapes, and specifications, including carbon hot rolled and cold finished steel, pipe and tubular, stainless steel, aluminum, and other non-ferrous specialty metal products. The Energy Field Stores segment offers specialized products, such as flanges, valves, fittings, and other products to energy industry. The Steel Distributors segment sells steel products comprising carbon steel plate, flat rolled products, beams, channels, and pipes to other steel service centers and equipment manufacturers. Russel Metals Inc. was incorporated in 1929 and is headquartered in Mississauga, Canada.</v>
      </c>
    </row>
    <row r="17" spans="2:23" x14ac:dyDescent="0.25">
      <c r="B17" s="82" t="s">
        <v>64</v>
      </c>
      <c r="C17" s="24" t="str">
        <f>_xll.SNL.Clients.Office.Excel.Functions.SPG($B17, C$6)</f>
        <v>Lindsay Corporation</v>
      </c>
      <c r="D17" s="103">
        <f ca="1">_xll.SNL.Clients.Office.Excel.Functions.SPG($B17, D$6, D$7,$D$3)</f>
        <v>1920.3799786134807</v>
      </c>
      <c r="E17" s="96" t="str">
        <f ca="1">_xll.SNL.Clients.Office.Excel.Functions.SPG($B17, E$6, E$7, $D$2, $D$3)</f>
        <v>#PEND</v>
      </c>
      <c r="F17" s="96">
        <f ca="1">_xll.SNL.Clients.Office.Excel.Functions.SPG($B17, F$6, F$7, $D$2, $D$3)</f>
        <v>29.19296576</v>
      </c>
      <c r="G17" s="96">
        <f ca="1">_xll.SNL.Clients.Office.Excel.Functions.SPG($B17, G$6, G$7, $D$2, $D$3)</f>
        <v>278.88391132000004</v>
      </c>
      <c r="H17" s="96" t="e">
        <f t="shared" ca="1" si="4"/>
        <v>#VALUE!</v>
      </c>
      <c r="I17" s="104" t="str">
        <f ca="1">_xll.SNL.Clients.Office.Excel.Functions.SPG($B17, I$6, I$7, $D$2, $D$3)</f>
        <v>#PEND</v>
      </c>
      <c r="J17" s="103">
        <f ca="1">_xll.SNL.Clients.Office.Excel.Functions.SPG($B17, J$6, J$7, $D$2, $D$3)</f>
        <v>933.17521758473868</v>
      </c>
      <c r="K17" s="96">
        <f ca="1">_xll.SNL.Clients.Office.Excel.Functions.SPG($B17, K$6, K$7, $D$2, $D$3)</f>
        <v>915.41834782617764</v>
      </c>
      <c r="L17" s="96" t="str">
        <f ca="1">_xll.SNL.Clients.Office.Excel.Functions.SPG($B17, L$6, L$7, $D$2, $D$3)</f>
        <v>#PEND</v>
      </c>
      <c r="M17" s="96">
        <f ca="1">_xll.SNL.Clients.Office.Excel.Functions.SPG($B17, M$6, M$7, $D$2, $D$3)</f>
        <v>141.95599953278725</v>
      </c>
      <c r="N17" s="85" t="e">
        <f t="shared" ca="1" si="0"/>
        <v>#VALUE!</v>
      </c>
      <c r="O17" s="78" t="e">
        <f t="shared" ca="1" si="1"/>
        <v>#VALUE!</v>
      </c>
      <c r="P17" s="33" t="e">
        <f t="shared" ca="1" si="2"/>
        <v>#VALUE!</v>
      </c>
      <c r="Q17" s="33" t="e">
        <f t="shared" ca="1" si="3"/>
        <v>#VALUE!</v>
      </c>
      <c r="R17" s="32">
        <f ca="1">IF(_xll.SNL.Clients.Office.Excel.Functions.SPG($B17, R$6, R$7, $D$2)&gt;0,_xll.SNL.Clients.Office.Excel.Functions.SPG($B17, R$6, R$7, $D$2),"NM")</f>
        <v>2.7536999999999998</v>
      </c>
      <c r="S17" s="28" t="e">
        <f t="shared" ca="1" si="5"/>
        <v>#VALUE!</v>
      </c>
      <c r="T17" s="74"/>
      <c r="U17" s="1" t="str">
        <f t="shared" ca="1" si="6"/>
        <v>US GAAP</v>
      </c>
      <c r="W17" s="3" t="str">
        <f>_xll.SNL.Clients.Office.Excel.Functions.SPG($B17, "SP_BUSINESS_DESCRIPTION")</f>
        <v>Lindsay Corporation, together with its subsidiaries, provides water management and road infrastructure products and services in the United States and internationally. It operates in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to enhance highway safety at locations such as toll booths,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v>
      </c>
    </row>
    <row r="18" spans="2:23" x14ac:dyDescent="0.25">
      <c r="B18" s="82" t="s">
        <v>65</v>
      </c>
      <c r="C18" s="24" t="str">
        <f>_xll.SNL.Clients.Office.Excel.Functions.SPG($B18, C$6)</f>
        <v>NWPX Infrastructure, Inc.</v>
      </c>
      <c r="D18" s="103">
        <f ca="1">_xll.SNL.Clients.Office.Excel.Functions.SPG($B18, D$6, D$7,$D$3)</f>
        <v>1016.9008796635919</v>
      </c>
      <c r="E18" s="96" t="str">
        <f ca="1">_xll.SNL.Clients.Office.Excel.Functions.SPG($B18, E$6, E$7, $D$2, $D$3)</f>
        <v>#PEND</v>
      </c>
      <c r="F18" s="96">
        <f ca="1">_xll.SNL.Clients.Office.Excel.Functions.SPG($B18, F$6, F$7, $D$2, $D$3)</f>
        <v>124.84321823999998</v>
      </c>
      <c r="G18" s="96">
        <f ca="1">_xll.SNL.Clients.Office.Excel.Functions.SPG($B18, G$6, G$7, $D$2, $D$3)</f>
        <v>3.1165557599999998</v>
      </c>
      <c r="H18" s="96" t="e">
        <f t="shared" ca="1" si="4"/>
        <v>#VALUE!</v>
      </c>
      <c r="I18" s="104" t="str">
        <f ca="1">_xll.SNL.Clients.Office.Excel.Functions.SPG($B18, I$6, I$7, $D$2, $D$3)</f>
        <v>#PEND</v>
      </c>
      <c r="J18" s="103">
        <f ca="1">_xll.SNL.Clients.Office.Excel.Functions.SPG($B18, J$6, J$7, $D$2, $D$3)</f>
        <v>735.0239761893198</v>
      </c>
      <c r="K18" s="96">
        <f ca="1">_xll.SNL.Clients.Office.Excel.Functions.SPG($B18, K$6, K$7, $D$2, $D$3)</f>
        <v>748.10682164216132</v>
      </c>
      <c r="L18" s="96" t="str">
        <f ca="1">_xll.SNL.Clients.Office.Excel.Functions.SPG($B18, L$6, L$7, $D$2, $D$3)</f>
        <v>#PEND</v>
      </c>
      <c r="M18" s="96">
        <f ca="1">_xll.SNL.Clients.Office.Excel.Functions.SPG($B18, M$6, M$7, $D$2, $D$3)</f>
        <v>107.9711688035741</v>
      </c>
      <c r="N18" s="85" t="e">
        <f t="shared" ca="1" si="0"/>
        <v>#VALUE!</v>
      </c>
      <c r="O18" s="78" t="e">
        <f t="shared" ca="1" si="1"/>
        <v>#VALUE!</v>
      </c>
      <c r="P18" s="33" t="e">
        <f t="shared" ca="1" si="2"/>
        <v>#VALUE!</v>
      </c>
      <c r="Q18" s="33" t="e">
        <f t="shared" ca="1" si="3"/>
        <v>#VALUE!</v>
      </c>
      <c r="R18" s="32">
        <f ca="1">IF(_xll.SNL.Clients.Office.Excel.Functions.SPG($B18, R$6, R$7, $D$2)&gt;0,_xll.SNL.Clients.Office.Excel.Functions.SPG($B18, R$6, R$7, $D$2),"NM")</f>
        <v>1.8887670000000001</v>
      </c>
      <c r="S18" s="28" t="e">
        <f t="shared" ca="1" si="5"/>
        <v>#VALUE!</v>
      </c>
      <c r="T18" s="74"/>
      <c r="U18" s="1" t="str">
        <f t="shared" ca="1" si="6"/>
        <v>US GAAP</v>
      </c>
      <c r="W18" s="3" t="str">
        <f>_xll.SNL.Clients.Office.Excel.Functions.SPG($B18, "SP_BUSINESS_DESCRIPTION")</f>
        <v>NWPX Infrastructure, Inc., together with its subsidiaries, engages in the manufacture and sale of water-related infrastructure products in North America and Canada. It operates through two segments, Engineered Steel Pressure Pipe (SPP) and Precast Infrastructure and Engineered Systems (Precast). The SPP segment provides large-diameter and high-pressure steel pipeline systems for use in water infrastructure applications, which are primarily related to drinking water systems. Its products are also used for hydroelectric power systems, wastewater systems, seismic resiliency, and other applications. In addition, this segment makes products for industrial plant piping systems and certain structural applications. The Precast segment offers stormwater and wastewater technology products, precast, and reinforced concrete products, including reinforced concrete pipe, manholes, box culverts, vaults and catch basins, pump lift stations, oil water separators, biofiltration units, steel casing pipes, and bar-wrapped concrete cylinder pipes, as well as pipeline system joints, fittings, specialized components, and other environmental and engineered solutions. The company sells its water infrastructure products under the ParkUSA, Geneva Pipe and Precast, Permalok, and Northwest Pipe Company brands primarily to installation contractors. The company was formerly known as Northwest Pipe Company and changed its name to NWPX Infrastructure, Inc. in June 2025. NWPX Infrastructure, Inc. was incorporated in 1966 and is headquartered in Vancouver, Washington.</v>
      </c>
    </row>
    <row r="19" spans="2:23" x14ac:dyDescent="0.25">
      <c r="B19" s="82" t="s">
        <v>66</v>
      </c>
      <c r="C19" s="24" t="str">
        <f>_xll.SNL.Clients.Office.Excel.Functions.SPG($B19, C$6)</f>
        <v>L.B. Foster Company</v>
      </c>
      <c r="D19" s="103">
        <f ca="1">_xll.SNL.Clients.Office.Excel.Functions.SPG($B19, D$6, D$7,$D$3)</f>
        <v>435.52506073651188</v>
      </c>
      <c r="E19" s="96" t="str">
        <f ca="1">_xll.SNL.Clients.Office.Excel.Functions.SPG($B19, E$6, E$7, $D$2, $D$3)</f>
        <v>#PEND</v>
      </c>
      <c r="F19" s="96">
        <f ca="1">_xll.SNL.Clients.Office.Excel.Functions.SPG($B19, F$6, F$7, $D$2, $D$3)</f>
        <v>35.804237450000002</v>
      </c>
      <c r="G19" s="96">
        <f ca="1">_xll.SNL.Clients.Office.Excel.Functions.SPG($B19, G$6, G$7, $D$2, $D$3)</f>
        <v>4.8848652299999999</v>
      </c>
      <c r="H19" s="96" t="e">
        <f t="shared" ca="1" si="4"/>
        <v>#VALUE!</v>
      </c>
      <c r="I19" s="104" t="str">
        <f ca="1">_xll.SNL.Clients.Office.Excel.Functions.SPG($B19, I$6, I$7, $D$2, $D$3)</f>
        <v>#PEND</v>
      </c>
      <c r="J19" s="103">
        <f ca="1">_xll.SNL.Clients.Office.Excel.Functions.SPG($B19, J$6, J$7, $D$2, $D$3)</f>
        <v>710.26703700328903</v>
      </c>
      <c r="K19" s="96">
        <f ca="1">_xll.SNL.Clients.Office.Excel.Functions.SPG($B19, K$6, K$7, $D$2, $D$3)</f>
        <v>785.09547690003171</v>
      </c>
      <c r="L19" s="96" t="str">
        <f ca="1">_xll.SNL.Clients.Office.Excel.Functions.SPG($B19, L$6, L$7, $D$2, $D$3)</f>
        <v>#PEND</v>
      </c>
      <c r="M19" s="96">
        <f ca="1">_xll.SNL.Clients.Office.Excel.Functions.SPG($B19, M$6, M$7, $D$2, $D$3)</f>
        <v>63.796886436113688</v>
      </c>
      <c r="N19" s="85" t="e">
        <f t="shared" ca="1" si="0"/>
        <v>#VALUE!</v>
      </c>
      <c r="O19" s="78" t="e">
        <f t="shared" ca="1" si="1"/>
        <v>#VALUE!</v>
      </c>
      <c r="P19" s="33" t="e">
        <f t="shared" ca="1" si="2"/>
        <v>#VALUE!</v>
      </c>
      <c r="Q19" s="33" t="e">
        <f t="shared" ca="1" si="3"/>
        <v>#VALUE!</v>
      </c>
      <c r="R19" s="32">
        <f ca="1">IF(_xll.SNL.Clients.Office.Excel.Functions.SPG($B19, R$6, R$7, $D$2)&gt;0,_xll.SNL.Clients.Office.Excel.Functions.SPG($B19, R$6, R$7, $D$2),"NM")</f>
        <v>1.801606</v>
      </c>
      <c r="S19" s="28" t="e">
        <f t="shared" ca="1" si="5"/>
        <v>#VALUE!</v>
      </c>
      <c r="T19" s="74"/>
      <c r="U19" s="1" t="str">
        <f t="shared" ca="1" si="6"/>
        <v>US GAAP</v>
      </c>
      <c r="W19" s="3" t="str">
        <f>_xll.SNL.Clients.Office.Excel.Functions.SPG($B19, "SP_BUSINESS_DESCRIPTION")</f>
        <v>L.B. Foster Company provides engineered and manufactured products and services for building and supporting infrastructure in the United States, Canada, the United Kingdom, and internationally. It operates in two segments, Rail, Technologies, and Services; and Infrastructure Solutions. The Rail, Technologies, and Services segment offers new rail to passenger and short line freight railroads, industrial companies, and rail contractors, as well as used rails; rail accessories, such as track spikes, bolts, angle bars, tie plates, and other products; insulated rail joints and related accessories; fixation fasteners, coverboards, and special accessories; and trackwork products. This segment also provides engineered concrete railroad ties, friction management products and application systems, railroad condition monitoring systems and equipment, including wheel impact load detection systems, wayside data collection and management systems, and rockfall, flood, earthworks, and bridge strike monitoring; and aftermarket services. The Infrastructure Solutions segment manufactures precast concrete products for use as restrooms, concession stands, and protective storage buildings under the CXT brand for national, state, and municipal parks; and manufactures sounds walls, bridge beams, box culverts, septic tanks, and other custom pre-stressed and precast concrete products. This segment also provides steel bridge products; corrosion protection solutions; cuts, threads, and paints pipes; threading services for oil and gas production; and protective pipeline coating services. L.B. Foster Company was founded in 1902 and is headquartered in Pittsburgh, Pennsylvania.</v>
      </c>
    </row>
    <row r="20" spans="2:23" x14ac:dyDescent="0.25">
      <c r="B20" s="82" t="s">
        <v>40</v>
      </c>
      <c r="C20" s="24" t="str">
        <f>_xll.SNL.Clients.Office.Excel.Functions.SPG($B20, C$6)</f>
        <v>NV5 Global, Inc.</v>
      </c>
      <c r="D20" s="103" t="str">
        <f ca="1">_xll.SNL.Clients.Office.Excel.Functions.SPG($B20, D$6, D$7,$D$3)</f>
        <v>NA</v>
      </c>
      <c r="E20" s="96" t="str">
        <f ca="1">_xll.SNL.Clients.Office.Excel.Functions.SPG($B20, E$6, E$7, $D$2, $D$3)</f>
        <v>#PEND</v>
      </c>
      <c r="F20" s="96">
        <f ca="1">_xll.SNL.Clients.Office.Excel.Functions.SPG($B20, F$6, F$7, $D$2, $D$3)</f>
        <v>53.232450929999999</v>
      </c>
      <c r="G20" s="96">
        <f ca="1">_xll.SNL.Clients.Office.Excel.Functions.SPG($B20, G$6, G$7, $D$2, $D$3)</f>
        <v>53.76915924</v>
      </c>
      <c r="H20" s="96" t="e">
        <f t="shared" ca="1" si="4"/>
        <v>#VALUE!</v>
      </c>
      <c r="I20" s="104" t="str">
        <f ca="1">_xll.SNL.Clients.Office.Excel.Functions.SPG($B20, I$6, I$7, $D$2, $D$3)</f>
        <v>#PEND</v>
      </c>
      <c r="J20" s="103">
        <f ca="1">_xll.SNL.Clients.Office.Excel.Functions.SPG($B20, J$6, J$7, $D$2, $D$3)</f>
        <v>1372.3534881977857</v>
      </c>
      <c r="K20" s="96" t="str">
        <f ca="1">_xll.SNL.Clients.Office.Excel.Functions.SPG($B20, K$6, K$7, $D$2, $D$3)</f>
        <v>NA</v>
      </c>
      <c r="L20" s="96" t="str">
        <f ca="1">_xll.SNL.Clients.Office.Excel.Functions.SPG($B20, L$6, L$7, $D$2, $D$3)</f>
        <v>#PEND</v>
      </c>
      <c r="M20" s="96" t="str">
        <f ca="1">_xll.SNL.Clients.Office.Excel.Functions.SPG($B20, M$6, M$7, $D$2, $D$3)</f>
        <v>NA</v>
      </c>
      <c r="N20" s="85" t="e">
        <f t="shared" ca="1" si="0"/>
        <v>#VALUE!</v>
      </c>
      <c r="O20" s="78" t="e">
        <f t="shared" ca="1" si="1"/>
        <v>#VALUE!</v>
      </c>
      <c r="P20" s="33" t="e">
        <f t="shared" ca="1" si="2"/>
        <v>#VALUE!</v>
      </c>
      <c r="Q20" s="33" t="e">
        <f t="shared" ca="1" si="3"/>
        <v>#VALUE!</v>
      </c>
      <c r="R20" s="32" t="str">
        <f ca="1">IF(_xll.SNL.Clients.Office.Excel.Functions.SPG($B20, R$6, R$7, $D$2)&gt;0,_xll.SNL.Clients.Office.Excel.Functions.SPG($B20, R$6, R$7, $D$2),"NM")</f>
        <v>NA</v>
      </c>
      <c r="S20" s="28" t="e">
        <f t="shared" ca="1" si="5"/>
        <v>#VALUE!</v>
      </c>
      <c r="T20" s="74"/>
      <c r="U20" s="1" t="str">
        <f t="shared" ca="1" si="6"/>
        <v>US GAAP</v>
      </c>
      <c r="W20" s="3" t="str">
        <f>_xll.SNL.Clients.Office.Excel.Functions.SPG($B20, "SP_BUSINESS_DESCRIPTION")</f>
        <v>NV5 Global, Inc. provides technology, conformity assessment, consulting solutions, and software applications in the United States and internationally. It operates through three segments: Infrastructure; Building, Technology &amp; Sciences; and Geospatial Solutions. The company offers site selection and planning, design, water resources, street and roadway construction, structural engineering, land development, surveying, power delivery, building code compliance, and other services. It is also involved in the provision of geotechnical studies, site inspections, audits, and evaluations of materials and workmanship; environmental, geotechnical, and structural suitability; construction materials testing and engineering, geotechnical engineering and consulting, and forensic consulting; governmental outsourcing and consulting, and technical outsourcing services. In addition, the company offers mechanical, electrical, and plumbing design; commissioning; energy performance, management, and optimization; climate change and reducing CO2 emissions; building program management; acoustical design consulting; audiovisual–security and surveillance; and information technology–data center services. Further, it provides occupational health and safety services, including workplace safety audits, ergonomics studies, emergency preparedness plans and response services, and workplace monitoring; radiation exposure and protection, nuclear safety, and industrial hygiene analyses; hydrogeological modeling and environmental programs; and geospatial data analytic and mapping services. The company serves public and private sector clients in the infrastructure, utility services, construction, real estate, environmental, and geospatial markets, as well as the U.S. Federal, and state and local governments. The company was formerly known as NV5 Holdings, Inc. and changed its name to NV5 Global, Inc. in December 2015. NV5 Global, Inc. was founded in 1949 and is headquartered in Hollywood, Florida.</v>
      </c>
    </row>
    <row r="21" spans="2:23" ht="13.5" customHeight="1" x14ac:dyDescent="0.25">
      <c r="B21" s="82" t="s">
        <v>41</v>
      </c>
      <c r="C21" s="24" t="str">
        <f>_xll.SNL.Clients.Office.Excel.Functions.SPG($B21, C$6)</f>
        <v>Willdan Group, Inc.</v>
      </c>
      <c r="D21" s="103">
        <f ca="1">_xll.SNL.Clients.Office.Excel.Functions.SPG($B21, D$6, D$7,$D$3)</f>
        <v>1794.4324615755997</v>
      </c>
      <c r="E21" s="96" t="str">
        <f ca="1">_xll.SNL.Clients.Office.Excel.Functions.SPG($B21, E$6, E$7, $D$2, $D$3)</f>
        <v>#PEND</v>
      </c>
      <c r="F21" s="96">
        <f ca="1">_xll.SNL.Clients.Office.Excel.Functions.SPG($B21, F$6, F$7, $D$2, $D$3)</f>
        <v>25.3034496</v>
      </c>
      <c r="G21" s="96">
        <f ca="1">_xll.SNL.Clients.Office.Excel.Functions.SPG($B21, G$6, G$7, $D$2, $D$3)</f>
        <v>90.493603199999995</v>
      </c>
      <c r="H21" s="96" t="e">
        <f t="shared" ca="1" si="4"/>
        <v>#VALUE!</v>
      </c>
      <c r="I21" s="104" t="str">
        <f ca="1">_xll.SNL.Clients.Office.Excel.Functions.SPG($B21, I$6, I$7, $D$2, $D$3)</f>
        <v>#PEND</v>
      </c>
      <c r="J21" s="103">
        <f ca="1">_xll.SNL.Clients.Office.Excel.Functions.SPG($B21, J$6, J$7, $D$2, $D$3)</f>
        <v>952.25613583752931</v>
      </c>
      <c r="K21" s="96">
        <f ca="1">_xll.SNL.Clients.Office.Excel.Functions.SPG($B21, K$6, K$7, $D$2, $D$3)</f>
        <v>1069.7683285714552</v>
      </c>
      <c r="L21" s="96" t="str">
        <f ca="1">_xll.SNL.Clients.Office.Excel.Functions.SPG($B21, L$6, L$7, $D$2, $D$3)</f>
        <v>#PEND</v>
      </c>
      <c r="M21" s="96">
        <f ca="1">_xll.SNL.Clients.Office.Excel.Functions.SPG($B21, M$6, M$7, $D$2, $D$3)</f>
        <v>119.45746335714581</v>
      </c>
      <c r="N21" s="85" t="e">
        <f t="shared" ca="1" si="0"/>
        <v>#VALUE!</v>
      </c>
      <c r="O21" s="78" t="e">
        <f t="shared" ca="1" si="1"/>
        <v>#VALUE!</v>
      </c>
      <c r="P21" s="33" t="e">
        <f t="shared" ca="1" si="2"/>
        <v>#VALUE!</v>
      </c>
      <c r="Q21" s="33" t="e">
        <f t="shared" ca="1" si="3"/>
        <v>#VALUE!</v>
      </c>
      <c r="R21" s="32">
        <f ca="1">IF(_xll.SNL.Clients.Office.Excel.Functions.SPG($B21, R$6, R$7, $D$2)&gt;0,_xll.SNL.Clients.Office.Excel.Functions.SPG($B21, R$6, R$7, $D$2),"NM")</f>
        <v>4.3164980000000002</v>
      </c>
      <c r="S21" s="28" t="e">
        <f t="shared" ca="1" si="5"/>
        <v>#VALUE!</v>
      </c>
      <c r="T21" s="74"/>
      <c r="U21" s="1" t="str">
        <f t="shared" ca="1" si="6"/>
        <v>US GAAP</v>
      </c>
      <c r="W21" s="3" t="str">
        <f>_xll.SNL.Clients.Office.Excel.Functions.SPG($B21, "SP_BUSINESS_DESCRIPTION")</f>
        <v>Willdan Group, Inc., together with its subsidiaries, provides professional, technical, and consulting services primarily in the United States. The company operates in two segments, Energy, and Engineering and Consulting. The Energy segment offers comprehensive audit and surveys, program design and implementation, master planning, demand reduction, grid optimization, benchmarking analyses, design engineering, construction management, performance contracting, installation, alternative financing, measurement and verification services, and software and data analytics, as well as energy consulting and engineering, turnkey facility and infrastructure projects, and customer support services. The Engineering and Consulting segment provides building and safety, city engineering and code enforcement, development plan review and inspection, disaster recovery, geotechnical and earthquake engineering, planning and surveying, contract staff support, program and construction management, structural engineering, transportation and traffic engineering, and water resources services. This segment also offers district administration, financial consulting, and federal compliance services. It serves public and governmental agencies, including cities, counties, redevelopment agencies, water districts, school districts, and universities; investor and municipal owned energy utilities; state and federal agencies; and commercial and industrial firms, as well as various other special districts and agencies. Willdan Group, Inc. was founded in 1964 and is headquartered in Anaheim, California.</v>
      </c>
    </row>
    <row r="22" spans="2:23" x14ac:dyDescent="0.25">
      <c r="B22" s="82"/>
      <c r="C22" s="42" t="str">
        <f>_xlfn.CONCAT("Average ",C12)</f>
        <v>Average Infrastructure Services</v>
      </c>
      <c r="D22" s="97"/>
      <c r="E22" s="97"/>
      <c r="F22" s="97"/>
      <c r="G22" s="97"/>
      <c r="H22" s="97"/>
      <c r="I22" s="97"/>
      <c r="J22" s="97"/>
      <c r="K22" s="97"/>
      <c r="L22" s="97"/>
      <c r="M22" s="97"/>
      <c r="N22" s="105" t="e">
        <f t="shared" ref="N22:S22" ca="1" si="7">AVERAGEIF($T13:$T21,"&lt;&gt;*",N13:N21)</f>
        <v>#VALUE!</v>
      </c>
      <c r="O22" s="106" t="e">
        <f t="shared" ca="1" si="7"/>
        <v>#VALUE!</v>
      </c>
      <c r="P22" s="107" t="e">
        <f t="shared" ca="1" si="7"/>
        <v>#VALUE!</v>
      </c>
      <c r="Q22" s="107" t="e">
        <f t="shared" ca="1" si="7"/>
        <v>#VALUE!</v>
      </c>
      <c r="R22" s="108">
        <f t="shared" ca="1" si="7"/>
        <v>3.1334045000000001</v>
      </c>
      <c r="S22" s="109" t="e">
        <f t="shared" ca="1" si="7"/>
        <v>#VALUE!</v>
      </c>
      <c r="W22" s="3"/>
    </row>
    <row r="23" spans="2:23" x14ac:dyDescent="0.25">
      <c r="B23" s="82"/>
      <c r="C23" s="43" t="str">
        <f>_xlfn.CONCAT("Median ",C12)</f>
        <v>Median Infrastructure Services</v>
      </c>
      <c r="D23" s="98"/>
      <c r="E23" s="98"/>
      <c r="F23" s="98"/>
      <c r="G23" s="98"/>
      <c r="H23" s="98"/>
      <c r="I23" s="98"/>
      <c r="J23" s="98"/>
      <c r="K23" s="98"/>
      <c r="L23" s="98"/>
      <c r="M23" s="98"/>
      <c r="N23" s="110" t="e" cm="1">
        <f t="array" aca="1" ref="N23" ca="1">MEDIAN(IF($T13:$T21&lt;&gt;"*",N13:N21))</f>
        <v>#VALUE!</v>
      </c>
      <c r="O23" s="111" t="e" cm="1">
        <f t="array" aca="1" ref="O23" ca="1">MEDIAN(IF($T13:$T21&lt;&gt;"*",O13:O21))</f>
        <v>#VALUE!</v>
      </c>
      <c r="P23" s="112" t="e" cm="1">
        <f t="array" aca="1" ref="P23" ca="1">MEDIAN(IF($T13:$T21&lt;&gt;"*",P13:P21))</f>
        <v>#VALUE!</v>
      </c>
      <c r="Q23" s="112" t="e" cm="1">
        <f t="array" aca="1" ref="Q23" ca="1">MEDIAN(IF($T13:$T21&lt;&gt;"*",Q13:Q21))</f>
        <v>#VALUE!</v>
      </c>
      <c r="R23" s="113" cm="1">
        <f t="array" aca="1" ref="R23" ca="1">MEDIAN(IF($T13:$T21&lt;&gt;"*",R13:R21))</f>
        <v>2.3212334999999999</v>
      </c>
      <c r="S23" s="114" t="e" cm="1">
        <f t="array" aca="1" ref="S23" ca="1">MEDIAN(IF($T13:$T21&lt;&gt;"*",S13:S21))</f>
        <v>#VALUE!</v>
      </c>
      <c r="W23" s="3"/>
    </row>
    <row r="24" spans="2:23" x14ac:dyDescent="0.25">
      <c r="B24" s="82"/>
      <c r="C24" s="13" t="s">
        <v>47</v>
      </c>
      <c r="D24" s="115"/>
      <c r="E24" s="94"/>
      <c r="F24" s="94"/>
      <c r="G24" s="94"/>
      <c r="H24" s="94"/>
      <c r="I24" s="116"/>
      <c r="J24" s="115"/>
      <c r="K24" s="94"/>
      <c r="L24" s="94"/>
      <c r="M24" s="94"/>
      <c r="N24" s="94"/>
      <c r="O24" s="117"/>
      <c r="P24" s="94"/>
      <c r="Q24" s="94"/>
      <c r="R24" s="115"/>
      <c r="S24" s="116"/>
      <c r="W24" s="3"/>
    </row>
    <row r="25" spans="2:23" x14ac:dyDescent="0.25">
      <c r="B25" s="82" t="s">
        <v>43</v>
      </c>
      <c r="C25" s="51" t="str">
        <f>_xll.SNL.Clients.Office.Excel.Functions.SPG($B25, C$6)</f>
        <v>Quanta Services, Inc.</v>
      </c>
      <c r="D25" s="101">
        <f ca="1">_xll.SNL.Clients.Office.Excel.Functions.SPG($B25, D$6, D$7,$D$3)</f>
        <v>114886.07131139834</v>
      </c>
      <c r="E25" s="95" t="str">
        <f ca="1">_xll.SNL.Clients.Office.Excel.Functions.SPG($B25, E$6, E$7, $D$2, $D$3)</f>
        <v>#PEND</v>
      </c>
      <c r="F25" s="95">
        <f ca="1">_xll.SNL.Clients.Office.Excel.Functions.SPG($B25, F$6, F$7, $D$2, $D$3)</f>
        <v>581.42069375999995</v>
      </c>
      <c r="G25" s="95">
        <f ca="1">_xll.SNL.Clients.Office.Excel.Functions.SPG($B25, G$6, G$7, $D$2, $D$3)</f>
        <v>602.61820895999995</v>
      </c>
      <c r="H25" s="95" t="e">
        <f t="shared" ref="H25:H29" ca="1" si="8">E25-G25</f>
        <v>#VALUE!</v>
      </c>
      <c r="I25" s="102" t="str">
        <f ca="1">_xll.SNL.Clients.Office.Excel.Functions.SPG($B25, I$6, I$7, $D$2, $D$3)</f>
        <v>#PEND</v>
      </c>
      <c r="J25" s="101">
        <f ca="1">_xll.SNL.Clients.Office.Excel.Functions.SPG($B25, J$6, J$7, $D$2, $D$3)</f>
        <v>39796.845511540887</v>
      </c>
      <c r="K25" s="95">
        <f ca="1">_xll.SNL.Clients.Office.Excel.Functions.SPG($B25, K$6, K$7, $D$2, $D$3)</f>
        <v>45964.401512271972</v>
      </c>
      <c r="L25" s="95" t="str">
        <f ca="1">_xll.SNL.Clients.Office.Excel.Functions.SPG($B25, L$6, L$7, $D$2, $D$3)</f>
        <v>#PEND</v>
      </c>
      <c r="M25" s="95">
        <f ca="1">_xll.SNL.Clients.Office.Excel.Functions.SPG($B25, M$6, M$7, $D$2, $D$3)</f>
        <v>4707.2553155902524</v>
      </c>
      <c r="N25" s="58" t="e">
        <f ca="1">L25/J25</f>
        <v>#VALUE!</v>
      </c>
      <c r="O25" s="77" t="e">
        <f ca="1">IF(I25/J25&gt;0,I25/J25,"NM")</f>
        <v>#VALUE!</v>
      </c>
      <c r="P25" s="30" t="e">
        <f ca="1">IF(I25/L25&gt;0,I25/L25,"NM")</f>
        <v>#VALUE!</v>
      </c>
      <c r="Q25" s="30" t="e">
        <f ca="1">IF(I25/M25&gt;0,I25/M25,"NM")</f>
        <v>#VALUE!</v>
      </c>
      <c r="R25" s="29">
        <f ca="1">IF(_xll.SNL.Clients.Office.Excel.Functions.SPG($B25, R$6, R$7, $D$2)&gt;0,_xll.SNL.Clients.Office.Excel.Functions.SPG($B25, R$6, R$7, $D$2),"NM")</f>
        <v>9.4228290000000001</v>
      </c>
      <c r="S25" s="31" t="e">
        <f ca="1">IF(H25/L25&gt;0,H25/L25,"NM")</f>
        <v>#VALUE!</v>
      </c>
      <c r="U25" s="1" t="str">
        <f t="shared" ref="U25:U29" ca="1" si="9">IF(F25&gt;0,"US GAAP","IFRS or No Leases")</f>
        <v>US GAAP</v>
      </c>
      <c r="W25" s="3" t="str">
        <f>_xll.SNL.Clients.Office.Excel.Functions.SPG($B25, "SP_BUSINESS_DESCRIPTION")</f>
        <v>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v>
      </c>
    </row>
    <row r="26" spans="2:23" x14ac:dyDescent="0.25">
      <c r="B26" s="82" t="s">
        <v>44</v>
      </c>
      <c r="C26" s="24" t="str">
        <f>_xll.SNL.Clients.Office.Excel.Functions.SPG($B26, C$6)</f>
        <v>MasTec, Inc.</v>
      </c>
      <c r="D26" s="103">
        <f ca="1">_xll.SNL.Clients.Office.Excel.Functions.SPG($B26, D$6, D$7,$D$3)</f>
        <v>31640.772203638935</v>
      </c>
      <c r="E26" s="96" t="str">
        <f ca="1">_xll.SNL.Clients.Office.Excel.Functions.SPG($B26, E$6, E$7, $D$2, $D$3)</f>
        <v>#PEND</v>
      </c>
      <c r="F26" s="96">
        <f ca="1">_xll.SNL.Clients.Office.Excel.Functions.SPG($B26, F$6, F$7, $D$2, $D$3)</f>
        <v>642.35326655999995</v>
      </c>
      <c r="G26" s="96">
        <f ca="1">_xll.SNL.Clients.Office.Excel.Functions.SPG($B26, G$6, G$7, $D$2, $D$3)</f>
        <v>543.00465359999998</v>
      </c>
      <c r="H26" s="96" t="e">
        <f t="shared" ca="1" si="8"/>
        <v>#VALUE!</v>
      </c>
      <c r="I26" s="104" t="str">
        <f ca="1">_xll.SNL.Clients.Office.Excel.Functions.SPG($B26, I$6, I$7, $D$2, $D$3)</f>
        <v>#PEND</v>
      </c>
      <c r="J26" s="103">
        <f ca="1">_xll.SNL.Clients.Office.Excel.Functions.SPG($B26, J$6, J$7, $D$2, $D$3)</f>
        <v>19981.318594439599</v>
      </c>
      <c r="K26" s="96">
        <f ca="1">_xll.SNL.Clients.Office.Excel.Functions.SPG($B26, K$6, K$7, $D$2, $D$3)</f>
        <v>22505.442536273058</v>
      </c>
      <c r="L26" s="96" t="str">
        <f ca="1">_xll.SNL.Clients.Office.Excel.Functions.SPG($B26, L$6, L$7, $D$2, $D$3)</f>
        <v>#PEND</v>
      </c>
      <c r="M26" s="96">
        <f ca="1">_xll.SNL.Clients.Office.Excel.Functions.SPG($B26, M$6, M$7, $D$2, $D$3)</f>
        <v>1943.9806339887552</v>
      </c>
      <c r="N26" s="85" t="e">
        <f ca="1">L26/J26</f>
        <v>#VALUE!</v>
      </c>
      <c r="O26" s="78" t="e">
        <f ca="1">IF(I26/J26&gt;0,I26/J26,"NM")</f>
        <v>#VALUE!</v>
      </c>
      <c r="P26" s="33" t="e">
        <f ca="1">IF(I26/L26&gt;0,I26/L26,"NM")</f>
        <v>#VALUE!</v>
      </c>
      <c r="Q26" s="33" t="e">
        <f ca="1">IF(I26/M26&gt;0,I26/M26,"NM")</f>
        <v>#VALUE!</v>
      </c>
      <c r="R26" s="32">
        <f ca="1">IF(_xll.SNL.Clients.Office.Excel.Functions.SPG($B26, R$6, R$7, $D$2)&gt;0,_xll.SNL.Clients.Office.Excel.Functions.SPG($B26, R$6, R$7, $D$2),"NM")</f>
        <v>7.2138850000000003</v>
      </c>
      <c r="S26" s="28" t="e">
        <f ca="1">IF(H26/L26&gt;0,H26/L26,"NM")</f>
        <v>#VALUE!</v>
      </c>
      <c r="U26" s="1" t="str">
        <f t="shared" ca="1" si="9"/>
        <v>US GAAP</v>
      </c>
      <c r="W26" s="3" t="str">
        <f>_xll.SNL.Clients.Office.Excel.Functions.SPG($B26, "SP_BUSINESS_DESCRIPTION")</f>
        <v>MasTec, Inc., an infrastructure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service restoration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industrial infrastructure providers, as well as government entities. MasTec, Inc. was founded in 1929 and is headquartered in Coral Gables, Florida.</v>
      </c>
    </row>
    <row r="27" spans="2:23" x14ac:dyDescent="0.25">
      <c r="B27" s="82" t="s">
        <v>45</v>
      </c>
      <c r="C27" s="24" t="str">
        <f>_xll.SNL.Clients.Office.Excel.Functions.SPG($B27, C$6)</f>
        <v>Dycom Industries, Inc.</v>
      </c>
      <c r="D27" s="103" t="str">
        <f ca="1">_xll.SNL.Clients.Office.Excel.Functions.SPG($B27, D$6, D$7,$D$3)</f>
        <v>#PEND</v>
      </c>
      <c r="E27" s="96" t="str">
        <f ca="1">_xll.SNL.Clients.Office.Excel.Functions.SPG($B27, E$6, E$7, $D$2, $D$3)</f>
        <v>#PEND</v>
      </c>
      <c r="F27" s="96" t="str">
        <f ca="1">_xll.SNL.Clients.Office.Excel.Functions.SPG($B27, F$6, F$7, $D$2, $D$3)</f>
        <v>#PEND</v>
      </c>
      <c r="G27" s="96" t="str">
        <f ca="1">_xll.SNL.Clients.Office.Excel.Functions.SPG($B27, G$6, G$7, $D$2, $D$3)</f>
        <v>#PEND</v>
      </c>
      <c r="H27" s="96" t="e">
        <f t="shared" ca="1" si="8"/>
        <v>#VALUE!</v>
      </c>
      <c r="I27" s="104" t="str">
        <f ca="1">_xll.SNL.Clients.Office.Excel.Functions.SPG($B27, I$6, I$7, $D$2, $D$3)</f>
        <v>#PEND</v>
      </c>
      <c r="J27" s="103" t="str">
        <f ca="1">_xll.SNL.Clients.Office.Excel.Functions.SPG($B27, J$6, J$7, $D$2, $D$3)</f>
        <v>#PEND</v>
      </c>
      <c r="K27" s="96" t="str">
        <f ca="1">_xll.SNL.Clients.Office.Excel.Functions.SPG($B27, K$6, K$7, $D$2, $D$3)</f>
        <v>#PEND</v>
      </c>
      <c r="L27" s="96" t="str">
        <f ca="1">_xll.SNL.Clients.Office.Excel.Functions.SPG($B27, L$6, L$7, $D$2, $D$3)</f>
        <v>#PEND</v>
      </c>
      <c r="M27" s="96" t="str">
        <f ca="1">_xll.SNL.Clients.Office.Excel.Functions.SPG($B27, M$6, M$7, $D$2, $D$3)</f>
        <v>#PEND</v>
      </c>
      <c r="N27" s="85" t="e">
        <f ca="1">L27/J27</f>
        <v>#VALUE!</v>
      </c>
      <c r="O27" s="78" t="e">
        <f ca="1">IF(I27/J27&gt;0,I27/J27,"NM")</f>
        <v>#VALUE!</v>
      </c>
      <c r="P27" s="33" t="e">
        <f ca="1">IF(I27/L27&gt;0,I27/L27,"NM")</f>
        <v>#VALUE!</v>
      </c>
      <c r="Q27" s="33" t="e">
        <f ca="1">IF(I27/M27&gt;0,I27/M27,"NM")</f>
        <v>#VALUE!</v>
      </c>
      <c r="R27" s="32" t="str">
        <f ca="1">IF(_xll.SNL.Clients.Office.Excel.Functions.SPG($B27, R$6, R$7, $D$2)&gt;0,_xll.SNL.Clients.Office.Excel.Functions.SPG($B27, R$6, R$7, $D$2),"NM")</f>
        <v>#PEND</v>
      </c>
      <c r="S27" s="28" t="e">
        <f ca="1">IF(H27/L27&gt;0,H27/L27,"NM")</f>
        <v>#VALUE!</v>
      </c>
      <c r="U27" s="1" t="str">
        <f t="shared" ca="1" si="9"/>
        <v>US GAAP</v>
      </c>
      <c r="W27" s="3" t="str">
        <f>_xll.SNL.Clients.Office.Excel.Functions.SPG($B27, "SP_BUSINESS_DESCRIPTION")</f>
        <v>Dycom Industries, Inc. provides specialty contracting services to the telecommunications infrastructure and utility industries in the United States. The company offers engineering services to telecommunications providers, including the planning and design of aerial, underground, and buried fiber optic, copper, and coaxial cable systems; placement of cables, related structures, and drop lines for telephone companies and cable multiple system operators; program and project management, and inspection personnel; and wireless networks in connection with the deployment of macro cell and new small cell sites. It also provides construction, maintenance, and installation services,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including locating telephone, cable television, power, water, sewer, and gas lines for utility companies; installation and maintenance of customer premise equipment, including digital video recorders, set top boxes, and modems for cable system operators; and construction and maintenance services for electric and gas utilities, and other customers. Dycom Industries, Inc. was incorporated in 1969 and is based in Palm Beach Gardens, Florida.</v>
      </c>
    </row>
    <row r="28" spans="2:23" x14ac:dyDescent="0.25">
      <c r="B28" s="82" t="s">
        <v>27</v>
      </c>
      <c r="C28" s="24" t="str">
        <f>_xll.SNL.Clients.Office.Excel.Functions.SPG($B28, C$6)</f>
        <v>Primoris Services Corporation</v>
      </c>
      <c r="D28" s="103">
        <f ca="1">_xll.SNL.Clients.Office.Excel.Functions.SPG($B28, D$6, D$7,$D$3)</f>
        <v>11110.359478010283</v>
      </c>
      <c r="E28" s="96" t="str">
        <f ca="1">_xll.SNL.Clients.Office.Excel.Functions.SPG($B28, E$6, E$7, $D$2, $D$3)</f>
        <v>#PEND</v>
      </c>
      <c r="F28" s="96">
        <f ca="1">_xll.SNL.Clients.Office.Excel.Functions.SPG($B28, F$6, F$7, $D$2, $D$3)</f>
        <v>659.50872000000004</v>
      </c>
      <c r="G28" s="96">
        <f ca="1">_xll.SNL.Clients.Office.Excel.Functions.SPG($B28, G$6, G$7, $D$2, $D$3)</f>
        <v>734.23475999999994</v>
      </c>
      <c r="H28" s="96" t="e">
        <f t="shared" ca="1" si="8"/>
        <v>#VALUE!</v>
      </c>
      <c r="I28" s="104" t="str">
        <f ca="1">_xll.SNL.Clients.Office.Excel.Functions.SPG($B28, I$6, I$7, $D$2, $D$3)</f>
        <v>#PEND</v>
      </c>
      <c r="J28" s="103">
        <f ca="1">_xll.SNL.Clients.Office.Excel.Functions.SPG($B28, J$6, J$7, $D$2, $D$3)</f>
        <v>10584.983578490006</v>
      </c>
      <c r="K28" s="96">
        <f ca="1">_xll.SNL.Clients.Office.Excel.Functions.SPG($B28, K$6, K$7, $D$2, $D$3)</f>
        <v>11073.331323379154</v>
      </c>
      <c r="L28" s="96" t="str">
        <f ca="1">_xll.SNL.Clients.Office.Excel.Functions.SPG($B28, L$6, L$7, $D$2, $D$3)</f>
        <v>#PEND</v>
      </c>
      <c r="M28" s="96">
        <f ca="1">_xll.SNL.Clients.Office.Excel.Functions.SPG($B28, M$6, M$7, $D$2, $D$3)</f>
        <v>780.21918218913345</v>
      </c>
      <c r="N28" s="118" t="e">
        <f ca="1">L28/J28</f>
        <v>#VALUE!</v>
      </c>
      <c r="O28" s="78" t="e">
        <f ca="1">IF(I28/J28&gt;0,I28/J28,"NM")</f>
        <v>#VALUE!</v>
      </c>
      <c r="P28" s="33" t="e">
        <f ca="1">IF(I28/L28&gt;0,I28/L28,"NM")</f>
        <v>#VALUE!</v>
      </c>
      <c r="Q28" s="33" t="e">
        <f ca="1">IF(I28/M28&gt;0,I28/M28,"NM")</f>
        <v>#VALUE!</v>
      </c>
      <c r="R28" s="32">
        <f ca="1">IF(_xll.SNL.Clients.Office.Excel.Functions.SPG($B28, R$6, R$7, $D$2)&gt;0,_xll.SNL.Clients.Office.Excel.Functions.SPG($B28, R$6, R$7, $D$2),"NM")</f>
        <v>4.8456789999999996</v>
      </c>
      <c r="S28" s="28" t="e">
        <f ca="1">IF(H28/L28&gt;0,H28/L28,"NM")</f>
        <v>#VALUE!</v>
      </c>
      <c r="U28" s="1" t="str">
        <f t="shared" ca="1" si="9"/>
        <v>US GAAP</v>
      </c>
      <c r="W28" s="3" t="str">
        <f>_xll.SNL.Clients.Office.Excel.Functions.SPG($B28, "SP_BUSINESS_DESCRIPTION")</f>
        <v>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offers replacement and fabrication services. Primoris Services Corporation was founded in 1960 and is headquartered in Dallas, Texas.</v>
      </c>
    </row>
    <row r="29" spans="2:23" x14ac:dyDescent="0.25">
      <c r="B29" s="82" t="s">
        <v>46</v>
      </c>
      <c r="C29" s="25" t="str">
        <f>_xll.SNL.Clients.Office.Excel.Functions.SPG($B29, C$6)</f>
        <v>MYR Group Inc.</v>
      </c>
      <c r="D29" s="103">
        <f ca="1">_xll.SNL.Clients.Office.Excel.Functions.SPG($B29, D$6, D$7,$D$3)</f>
        <v>5720.8658026817839</v>
      </c>
      <c r="E29" s="96" t="str">
        <f ca="1">_xll.SNL.Clients.Office.Excel.Functions.SPG($B29, E$6, E$7, $D$2, $D$3)</f>
        <v>#PEND</v>
      </c>
      <c r="F29" s="96">
        <f ca="1">_xll.SNL.Clients.Office.Excel.Functions.SPG($B29, F$6, F$7, $D$2, $D$3)</f>
        <v>58.201301759999993</v>
      </c>
      <c r="G29" s="96">
        <f ca="1">_xll.SNL.Clients.Office.Excel.Functions.SPG($B29, G$6, G$7, $D$2, $D$3)</f>
        <v>205.88189471999999</v>
      </c>
      <c r="H29" s="96" t="e">
        <f t="shared" ca="1" si="8"/>
        <v>#VALUE!</v>
      </c>
      <c r="I29" s="104" t="str">
        <f ca="1">_xll.SNL.Clients.Office.Excel.Functions.SPG($B29, I$6, I$7, $D$2, $D$3)</f>
        <v>#PEND</v>
      </c>
      <c r="J29" s="119">
        <f ca="1">_xll.SNL.Clients.Office.Excel.Functions.SPG($B29, J$6, J$7, $D$2, $D$3)</f>
        <v>4915.0933805445211</v>
      </c>
      <c r="K29" s="120">
        <f ca="1">_xll.SNL.Clients.Office.Excel.Functions.SPG($B29, K$6, K$7, $D$2, $D$3)</f>
        <v>5488.1724530388865</v>
      </c>
      <c r="L29" s="120" t="str">
        <f ca="1">_xll.SNL.Clients.Office.Excel.Functions.SPG($B29, L$6, L$7, $D$2, $D$3)</f>
        <v>#PEND</v>
      </c>
      <c r="M29" s="120">
        <f ca="1">_xll.SNL.Clients.Office.Excel.Functions.SPG($B29, M$6, M$7, $D$2, $D$3)</f>
        <v>370.79678915929492</v>
      </c>
      <c r="N29" s="121" t="e">
        <f ca="1">L29/J29</f>
        <v>#VALUE!</v>
      </c>
      <c r="O29" s="79" t="e">
        <f ca="1">IF(I29/J29&gt;0,I29/J29,"NM")</f>
        <v>#VALUE!</v>
      </c>
      <c r="P29" s="35" t="e">
        <f ca="1">IF(I29/L29&gt;0,I29/L29,"NM")</f>
        <v>#VALUE!</v>
      </c>
      <c r="Q29" s="35" t="e">
        <f ca="1">IF(I29/M29&gt;0,I29/M29,"NM")</f>
        <v>#VALUE!</v>
      </c>
      <c r="R29" s="34">
        <f ca="1">IF(_xll.SNL.Clients.Office.Excel.Functions.SPG($B29, R$6, R$7, $D$2)&gt;0,_xll.SNL.Clients.Office.Excel.Functions.SPG($B29, R$6, R$7, $D$2),"NM")</f>
        <v>6.7853009999999996</v>
      </c>
      <c r="S29" s="36" t="e">
        <f ca="1">IF(H29/L29&gt;0,H29/L29,"NM")</f>
        <v>#VALUE!</v>
      </c>
      <c r="U29" s="1" t="str">
        <f t="shared" ca="1" si="9"/>
        <v>US GAAP</v>
      </c>
      <c r="W29" s="3" t="str">
        <f>_xll.SNL.Clients.Office.Excel.Functions.SPG($B29, "SP_BUSINESS_DESCRIPTION")</f>
        <v>MYR Group Inc., through its subsidiaries, provides electrical construction services in the United States and Canada. It operates through two segments: Transmission and Distribution, and Commercial and Industrial. The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or other related damages. This segment serves as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MYR Group Inc. was founded in 1891 and is headquartered in Thornton, Colorado.</v>
      </c>
    </row>
    <row r="30" spans="2:23" x14ac:dyDescent="0.25">
      <c r="C30" s="42" t="str">
        <f>_xlfn.CONCAT("Average ",C24)</f>
        <v>Average Infrastructure Services</v>
      </c>
      <c r="D30" s="97"/>
      <c r="E30" s="97"/>
      <c r="F30" s="97"/>
      <c r="G30" s="97"/>
      <c r="H30" s="97"/>
      <c r="I30" s="97"/>
      <c r="J30" s="122"/>
      <c r="K30" s="122"/>
      <c r="L30" s="122"/>
      <c r="M30" s="122"/>
      <c r="N30" s="123" t="e">
        <f t="shared" ref="N30:S30" ca="1" si="10">AVERAGEIF($T25:$T29,"&lt;&gt;*",N25:N29)</f>
        <v>#VALUE!</v>
      </c>
      <c r="O30" s="106" t="e">
        <f t="shared" ca="1" si="10"/>
        <v>#VALUE!</v>
      </c>
      <c r="P30" s="107" t="e">
        <f t="shared" ca="1" si="10"/>
        <v>#VALUE!</v>
      </c>
      <c r="Q30" s="107" t="e">
        <f t="shared" ca="1" si="10"/>
        <v>#VALUE!</v>
      </c>
      <c r="R30" s="108">
        <f t="shared" ca="1" si="10"/>
        <v>7.0669235000000006</v>
      </c>
      <c r="S30" s="109" t="e">
        <f t="shared" ca="1" si="10"/>
        <v>#VALUE!</v>
      </c>
    </row>
    <row r="31" spans="2:23" x14ac:dyDescent="0.25">
      <c r="C31" s="43" t="str">
        <f>_xlfn.CONCAT("Median ",C24)</f>
        <v>Median Infrastructure Services</v>
      </c>
      <c r="D31" s="98"/>
      <c r="E31" s="98"/>
      <c r="F31" s="98"/>
      <c r="G31" s="98"/>
      <c r="H31" s="98"/>
      <c r="I31" s="98"/>
      <c r="J31" s="98"/>
      <c r="K31" s="98"/>
      <c r="L31" s="98"/>
      <c r="M31" s="98"/>
      <c r="N31" s="110" t="e" cm="1">
        <f t="array" aca="1" ref="N31" ca="1">MEDIAN(IF($T25:$T29&lt;&gt;"*",N25:N29))</f>
        <v>#VALUE!</v>
      </c>
      <c r="O31" s="111" t="e" cm="1">
        <f t="array" aca="1" ref="O31" ca="1">MEDIAN(IF($T25:$T29&lt;&gt;"*",O25:O29))</f>
        <v>#VALUE!</v>
      </c>
      <c r="P31" s="112" t="e" cm="1">
        <f t="array" aca="1" ref="P31" ca="1">MEDIAN(IF($T25:$T29&lt;&gt;"*",P25:P29))</f>
        <v>#VALUE!</v>
      </c>
      <c r="Q31" s="112" t="e" cm="1">
        <f t="array" aca="1" ref="Q31" ca="1">MEDIAN(IF($T25:$T29&lt;&gt;"*",Q25:Q29))</f>
        <v>#VALUE!</v>
      </c>
      <c r="R31" s="113" cm="1">
        <f t="array" aca="1" ref="R31" ca="1">MEDIAN(IF($T25:$T29&lt;&gt;"*",R25:R29))</f>
        <v>6.999593</v>
      </c>
      <c r="S31" s="114" t="e" cm="1">
        <f t="array" aca="1" ref="S31" ca="1">MEDIAN(IF($T25:$T29&lt;&gt;"*",S25:S29))</f>
        <v>#VALUE!</v>
      </c>
    </row>
    <row r="32" spans="2:23" x14ac:dyDescent="0.25">
      <c r="C32" s="59" t="s">
        <v>48</v>
      </c>
      <c r="D32" s="99"/>
      <c r="E32" s="99"/>
      <c r="F32" s="99"/>
      <c r="G32" s="99"/>
      <c r="H32" s="99"/>
      <c r="I32" s="99"/>
      <c r="J32" s="124"/>
      <c r="K32" s="124"/>
      <c r="L32" s="124"/>
      <c r="M32" s="124"/>
      <c r="N32" s="125" t="e" cm="1">
        <f t="array" aca="1" ref="N32" ca="1">AVERAGE(_xlfn._xlws.FILTER(N12:N31,(ISBLANK($B12:$B31)=FALSE)*(ISBLANK($T$12:$T$31)=TRUE)))</f>
        <v>#VALUE!</v>
      </c>
      <c r="O32" s="126" t="e" cm="1">
        <f t="array" aca="1" ref="O32" ca="1">AVERAGE(_xlfn._xlws.FILTER(O12:O31,(ISBLANK($B12:$B31)=FALSE)*(ISBLANK($T$12:$T$31)=TRUE)))</f>
        <v>#VALUE!</v>
      </c>
      <c r="P32" s="127" t="e" cm="1">
        <f t="array" aca="1" ref="P32" ca="1">AVERAGE(_xlfn._xlws.FILTER(P12:P31,(ISBLANK($B12:$B31)=FALSE)*(ISBLANK($T$12:$T$31)=TRUE)))</f>
        <v>#VALUE!</v>
      </c>
      <c r="Q32" s="127" t="e" cm="1">
        <f t="array" aca="1" ref="Q32" ca="1">AVERAGE(_xlfn._xlws.FILTER(Q12:Q31,(ISBLANK($B12:$B31)=FALSE)*(ISBLANK($T$12:$T$31)=TRUE)))</f>
        <v>#VALUE!</v>
      </c>
      <c r="R32" s="128" cm="1">
        <f t="array" aca="1" ref="R32" ca="1">AVERAGE(_xlfn._xlws.FILTER(R12:R31,(ISBLANK($B12:$B31)=FALSE)*(ISBLANK($T$12:$T$31)=TRUE)))</f>
        <v>4.4445774999999994</v>
      </c>
      <c r="S32" s="129" t="e" cm="1">
        <f t="array" aca="1" ref="S32" ca="1">AVERAGE(_xlfn._xlws.FILTER(S12:S31,(ISBLANK($B12:$B31)=FALSE)*(ISBLANK($T$12:$T$31)=TRUE)))</f>
        <v>#VALUE!</v>
      </c>
    </row>
    <row r="33" spans="3:19" x14ac:dyDescent="0.25">
      <c r="C33" s="66" t="s">
        <v>49</v>
      </c>
      <c r="D33" s="100"/>
      <c r="E33" s="100"/>
      <c r="F33" s="100"/>
      <c r="G33" s="100"/>
      <c r="H33" s="100"/>
      <c r="I33" s="100"/>
      <c r="J33" s="100"/>
      <c r="K33" s="100"/>
      <c r="L33" s="100"/>
      <c r="M33" s="100"/>
      <c r="N33" s="130" t="e" cm="1">
        <f t="array" aca="1" ref="N33" ca="1">MEDIAN(_xlfn._xlws.FILTER(N12:N31,(ISBLANK($B12:$B31)=FALSE)*(ISBLANK($T$12:$T$31)=TRUE)))</f>
        <v>#VALUE!</v>
      </c>
      <c r="O33" s="131" t="e" cm="1">
        <f t="array" aca="1" ref="O33" ca="1">MEDIAN(_xlfn._xlws.FILTER(O12:O31,(ISBLANK($B12:$B31)=FALSE)*(ISBLANK($T$12:$T$31)=TRUE)))</f>
        <v>#VALUE!</v>
      </c>
      <c r="P33" s="132" t="e" cm="1">
        <f t="array" aca="1" ref="P33" ca="1">MEDIAN(_xlfn._xlws.FILTER(P12:P31,(ISBLANK($B12:$B31)=FALSE)*(ISBLANK($T$12:$T$31)=TRUE)))</f>
        <v>#VALUE!</v>
      </c>
      <c r="Q33" s="132" t="e" cm="1">
        <f t="array" aca="1" ref="Q33" ca="1">MEDIAN(_xlfn._xlws.FILTER(Q12:Q31,(ISBLANK($B12:$B31)=FALSE)*(ISBLANK($T$12:$T$31)=TRUE)))</f>
        <v>#VALUE!</v>
      </c>
      <c r="R33" s="131" cm="1">
        <f t="array" aca="1" ref="R33" ca="1">MEDIAN(_xlfn._xlws.FILTER(R12:R31,(ISBLANK($B12:$B31)=FALSE)*(ISBLANK($T$12:$T$31)=TRUE)))</f>
        <v>4.4563139999999999</v>
      </c>
      <c r="S33" s="133" t="e" cm="1">
        <f t="array" aca="1" ref="S33" ca="1">MEDIAN(_xlfn._xlws.FILTER(S12:S31,(ISBLANK($B12:$B31)=FALSE)*(ISBLANK($T$12:$T$31)=TRUE)))</f>
        <v>#VALUE!</v>
      </c>
    </row>
  </sheetData>
  <conditionalFormatting sqref="C13:S21 C25:S29">
    <cfRule type="expression" dxfId="0" priority="1">
      <formula>MOD(ROW(),2)=0</formula>
    </cfRule>
  </conditionalFormatting>
  <dataValidations count="1">
    <dataValidation type="list" allowBlank="1" showInputMessage="1" showErrorMessage="1" sqref="D3" xr:uid="{FBC5785B-26A6-40EF-9890-DC5E0D01983A}">
      <formula1>"Options: Curr=CAD, Options: Curr=USD"</formula1>
    </dataValidation>
  </dataValidations>
  <pageMargins left="0.7" right="0.7" top="0.75" bottom="0.75" header="0.3" footer="0.3"/>
  <ignoredErrors>
    <ignoredError sqref="H13:H29"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77c0145-daf1-4dbd-809f-6a636bb2502d">
      <Terms xmlns="http://schemas.microsoft.com/office/infopath/2007/PartnerControls"/>
    </lcf76f155ced4ddcb4097134ff3c332f>
    <TaxCatchAll xmlns="67645e10-e62d-4eec-84ed-ceee2cef4fd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DC121407C3760469CC5034B02582197" ma:contentTypeVersion="18" ma:contentTypeDescription="Create a new document." ma:contentTypeScope="" ma:versionID="17b987b359bd3d72b453edec4107393f">
  <xsd:schema xmlns:xsd="http://www.w3.org/2001/XMLSchema" xmlns:xs="http://www.w3.org/2001/XMLSchema" xmlns:p="http://schemas.microsoft.com/office/2006/metadata/properties" xmlns:ns2="a77c0145-daf1-4dbd-809f-6a636bb2502d" xmlns:ns3="1b492412-9437-4f1b-bb4e-414d74947bb6" xmlns:ns4="67645e10-e62d-4eec-84ed-ceee2cef4fd8" targetNamespace="http://schemas.microsoft.com/office/2006/metadata/properties" ma:root="true" ma:fieldsID="b8239f7bb6789c5a58d24b50b42566e4" ns2:_="" ns3:_="" ns4:_="">
    <xsd:import namespace="a77c0145-daf1-4dbd-809f-6a636bb2502d"/>
    <xsd:import namespace="1b492412-9437-4f1b-bb4e-414d74947bb6"/>
    <xsd:import namespace="67645e10-e62d-4eec-84ed-ceee2cef4fd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OCR"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7c0145-daf1-4dbd-809f-6a636bb250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d0764f-4097-4504-b6de-49b8dca61d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492412-9437-4f1b-bb4e-414d74947bb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7645e10-e62d-4eec-84ed-ceee2cef4fd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343c72c3-3e18-4357-be09-e6ceda9fb84a}" ma:internalName="TaxCatchAll" ma:showField="CatchAllData" ma:web="67645e10-e62d-4eec-84ed-ceee2cef4f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86761F-CADE-4D83-B51C-669FB62501A4}">
  <ds:schemaRefs>
    <ds:schemaRef ds:uri="http://schemas.microsoft.com/office/2006/metadata/properties"/>
    <ds:schemaRef ds:uri="http://schemas.microsoft.com/office/infopath/2007/PartnerControls"/>
    <ds:schemaRef ds:uri="a77c0145-daf1-4dbd-809f-6a636bb2502d"/>
    <ds:schemaRef ds:uri="67645e10-e62d-4eec-84ed-ceee2cef4fd8"/>
  </ds:schemaRefs>
</ds:datastoreItem>
</file>

<file path=customXml/itemProps2.xml><?xml version="1.0" encoding="utf-8"?>
<ds:datastoreItem xmlns:ds="http://schemas.openxmlformats.org/officeDocument/2006/customXml" ds:itemID="{7FAA652D-7C52-465E-88CC-C74FDCFA6FBD}">
  <ds:schemaRefs>
    <ds:schemaRef ds:uri="http://schemas.microsoft.com/sharepoint/v3/contenttype/forms"/>
  </ds:schemaRefs>
</ds:datastoreItem>
</file>

<file path=customXml/itemProps3.xml><?xml version="1.0" encoding="utf-8"?>
<ds:datastoreItem xmlns:ds="http://schemas.openxmlformats.org/officeDocument/2006/customXml" ds:itemID="{691712CC-2FDA-4F4D-B742-30BAF92764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7c0145-daf1-4dbd-809f-6a636bb2502d"/>
    <ds:schemaRef ds:uri="1b492412-9437-4f1b-bb4e-414d74947bb6"/>
    <ds:schemaRef ds:uri="67645e10-e62d-4eec-84ed-ceee2cef4f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Lease Adjusted</vt:lpstr>
      <vt:lpstr>Excluding Leases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Turpin</dc:creator>
  <cp:lastModifiedBy>Ryan Turpin</cp:lastModifiedBy>
  <dcterms:created xsi:type="dcterms:W3CDTF">2024-10-09T20:07:12Z</dcterms:created>
  <dcterms:modified xsi:type="dcterms:W3CDTF">2026-03-01T05:07:19Z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{925824B0-CA87-4B79-8CA7-7817DA4F7856}</vt:lpwstr>
  </property>
  <property fmtid="{D5CDD505-2E9C-101B-9397-08002B2CF9AE}" pid="3" name="MediaServiceImageTags">
    <vt:lpwstr/>
  </property>
  <property fmtid="{D5CDD505-2E9C-101B-9397-08002B2CF9AE}" pid="4" name="ContentTypeId">
    <vt:lpwstr>0x0101009DC121407C3760469CC5034B02582197</vt:lpwstr>
  </property>
</Properties>
</file>