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 Name</t>
        </is>
      </c>
      <c r="C1" t="inlineStr">
        <is>
          <t>Close Price</t>
        </is>
      </c>
      <c r="D1" t="inlineStr">
        <is>
          <t>Market Cap</t>
        </is>
      </c>
      <c r="E1" t="inlineStr">
        <is>
          <t>Ent. Value</t>
        </is>
      </c>
      <c r="F1" t="inlineStr">
        <is>
          <t>LTM Revenue</t>
        </is>
      </c>
      <c r="G1" t="inlineStr">
        <is>
          <t>LTM EBITDA</t>
        </is>
      </c>
      <c r="H1" t="inlineStr">
        <is>
          <t>NTM Revenue</t>
        </is>
      </c>
      <c r="I1" t="inlineStr">
        <is>
          <t>NTM EBITDA</t>
        </is>
      </c>
    </row>
    <row r="2">
      <c r="A2" t="inlineStr">
        <is>
          <t>DSGX</t>
        </is>
      </c>
      <c r="B2">
        <f>CIQ("DSGX","IQ_COMPANY_NAME")</f>
        <v/>
      </c>
      <c r="C2">
        <f>CIQ("DSGX","IQ_CLOSEPRICE")</f>
        <v/>
      </c>
      <c r="D2">
        <f>CIQ("DSGX","IQ_MARKETCAP")</f>
        <v/>
      </c>
      <c r="E2">
        <f>CIQ("DSGX","IQ_TEV")</f>
        <v/>
      </c>
      <c r="F2">
        <f>CIQ("DSGX","IQ_TOTAL_REV")</f>
        <v/>
      </c>
      <c r="G2">
        <f>CIQ("DSGX","IQ_EBITDA")</f>
        <v/>
      </c>
      <c r="H2">
        <f>CIQ("DSGX","IQ_MEAN_REVENUE_EST")</f>
        <v/>
      </c>
      <c r="I2">
        <f>CIQ("DSGX","IQ_MEAN_EBITDA_EST")</f>
        <v/>
      </c>
    </row>
    <row r="3">
      <c r="A3" t="inlineStr">
        <is>
          <t>IEX</t>
        </is>
      </c>
      <c r="B3">
        <f>CIQ("IEX","IQ_COMPANY_NAME")</f>
        <v/>
      </c>
      <c r="C3">
        <f>CIQ("IEX","IQ_CLOSEPRICE")</f>
        <v/>
      </c>
      <c r="D3">
        <f>CIQ("IEX","IQ_MARKETCAP")</f>
        <v/>
      </c>
      <c r="E3">
        <f>CIQ("IEX","IQ_TEV")</f>
        <v/>
      </c>
      <c r="F3">
        <f>CIQ("IEX","IQ_TOTAL_REV")</f>
        <v/>
      </c>
      <c r="G3">
        <f>CIQ("IEX","IQ_EBITDA")</f>
        <v/>
      </c>
      <c r="H3">
        <f>CIQ("IEX","IQ_MEAN_REVENUE_EST")</f>
        <v/>
      </c>
      <c r="I3">
        <f>CIQ("IEX","IQ_MEAN_EBITDA_EST")</f>
        <v/>
      </c>
    </row>
    <row r="4">
      <c r="A4" t="inlineStr">
        <is>
          <t>CMG:TSX</t>
        </is>
      </c>
      <c r="B4">
        <f>CIQ("CMG:TSX","IQ_COMPANY_NAME")</f>
        <v/>
      </c>
      <c r="C4">
        <f>CIQ("CMG:TSX","IQ_CLOSEPRICE")</f>
        <v/>
      </c>
      <c r="D4">
        <f>CIQ("CMG:TSX","IQ_MARKETCAP")</f>
        <v/>
      </c>
      <c r="E4">
        <f>CIQ("CMG:TSX","IQ_TEV")</f>
        <v/>
      </c>
      <c r="F4">
        <f>CIQ("CMG:TSX","IQ_TOTAL_REV")</f>
        <v/>
      </c>
      <c r="G4">
        <f>CIQ("CMG:TSX","IQ_EBITDA")</f>
        <v/>
      </c>
      <c r="H4">
        <f>CIQ("CMG:TSX","IQ_MEAN_REVENUE_EST")</f>
        <v/>
      </c>
      <c r="I4">
        <f>CIQ("CMG:TSX","IQ_MEAN_EBITDA_EST")</f>
        <v/>
      </c>
    </row>
    <row r="5">
      <c r="A5" t="inlineStr">
        <is>
          <t>MANH</t>
        </is>
      </c>
      <c r="B5">
        <f>CIQ("MANH","IQ_COMPANY_NAME")</f>
        <v/>
      </c>
      <c r="C5">
        <f>CIQ("MANH","IQ_CLOSEPRICE")</f>
        <v/>
      </c>
      <c r="D5">
        <f>CIQ("MANH","IQ_MARKETCAP")</f>
        <v/>
      </c>
      <c r="E5">
        <f>CIQ("MANH","IQ_TEV")</f>
        <v/>
      </c>
      <c r="F5">
        <f>CIQ("MANH","IQ_TOTAL_REV")</f>
        <v/>
      </c>
      <c r="G5">
        <f>CIQ("MANH","IQ_EBITDA")</f>
        <v/>
      </c>
      <c r="H5">
        <f>CIQ("MANH","IQ_MEAN_REVENUE_EST")</f>
        <v/>
      </c>
      <c r="I5">
        <f>CIQ("MANH","IQ_MEAN_EBITDA_EST")</f>
        <v/>
      </c>
    </row>
    <row r="6">
      <c r="A6" t="inlineStr">
        <is>
          <t>WTC:ASX</t>
        </is>
      </c>
      <c r="B6">
        <f>CIQ("WTC:ASX","IQ_COMPANY_NAME")</f>
        <v/>
      </c>
      <c r="C6">
        <f>CIQ("WTC:ASX","IQ_CLOSEPRICE")</f>
        <v/>
      </c>
      <c r="D6">
        <f>CIQ("WTC:ASX","IQ_MARKETCAP")</f>
        <v/>
      </c>
      <c r="E6">
        <f>CIQ("WTC:ASX","IQ_TEV")</f>
        <v/>
      </c>
      <c r="F6">
        <f>CIQ("WTC:ASX","IQ_TOTAL_REV")</f>
        <v/>
      </c>
      <c r="G6">
        <f>CIQ("WTC:ASX","IQ_EBITDA")</f>
        <v/>
      </c>
      <c r="H6">
        <f>CIQ("WTC:ASX","IQ_MEAN_REVENUE_EST")</f>
        <v/>
      </c>
      <c r="I6">
        <f>CIQ("WTC:ASX","IQ_MEAN_EBITDA_EST")</f>
        <v/>
      </c>
    </row>
    <row r="7">
      <c r="A7" t="inlineStr">
        <is>
          <t>ROP</t>
        </is>
      </c>
      <c r="B7">
        <f>CIQ("ROP","IQ_COMPANY_NAME")</f>
        <v/>
      </c>
      <c r="C7">
        <f>CIQ("ROP","IQ_CLOSEPRICE")</f>
        <v/>
      </c>
      <c r="D7">
        <f>CIQ("ROP","IQ_MARKETCAP")</f>
        <v/>
      </c>
      <c r="E7">
        <f>CIQ("ROP","IQ_TEV")</f>
        <v/>
      </c>
      <c r="F7">
        <f>CIQ("ROP","IQ_TOTAL_REV")</f>
        <v/>
      </c>
      <c r="G7">
        <f>CIQ("ROP","IQ_EBITDA")</f>
        <v/>
      </c>
      <c r="H7">
        <f>CIQ("ROP","IQ_MEAN_REVENUE_EST")</f>
        <v/>
      </c>
      <c r="I7">
        <f>CIQ("ROP","IQ_MEAN_EBITDA_EST")</f>
        <v/>
      </c>
    </row>
    <row r="8">
      <c r="A8" t="inlineStr">
        <is>
          <t>CSU:TSX</t>
        </is>
      </c>
      <c r="B8">
        <f>CIQ("CSU:TSX","IQ_COMPANY_NAME")</f>
        <v/>
      </c>
      <c r="C8">
        <f>CIQ("CSU:TSX","IQ_CLOSEPRICE")</f>
        <v/>
      </c>
      <c r="D8">
        <f>CIQ("CSU:TSX","IQ_MARKETCAP")</f>
        <v/>
      </c>
      <c r="E8">
        <f>CIQ("CSU:TSX","IQ_TEV")</f>
        <v/>
      </c>
      <c r="F8">
        <f>CIQ("CSU:TSX","IQ_TOTAL_REV")</f>
        <v/>
      </c>
      <c r="G8">
        <f>CIQ("CSU:TSX","IQ_EBITDA")</f>
        <v/>
      </c>
      <c r="H8">
        <f>CIQ("CSU:TSX","IQ_MEAN_REVENUE_EST")</f>
        <v/>
      </c>
      <c r="I8">
        <f>CIQ("CSU:TSX","IQ_MEAN_EBITDA_EST")</f>
        <v/>
      </c>
    </row>
    <row r="10">
      <c r="A10" t="inlineStr">
        <is>
          <t>── Fallback Tickers ──</t>
        </is>
      </c>
    </row>
    <row r="11">
      <c r="A11" t="inlineStr">
        <is>
          <t>CMG</t>
        </is>
      </c>
      <c r="B11">
        <f>CIQ("CMG","IQ_COMPANY_NAME")</f>
        <v/>
      </c>
      <c r="C11">
        <f>CIQ("CMG","IQ_CLOSEPRICE")</f>
        <v/>
      </c>
      <c r="D11">
        <f>CIQ("CMG","IQ_MARKETCAP")</f>
        <v/>
      </c>
      <c r="E11">
        <f>CIQ("CMG","IQ_TEV")</f>
        <v/>
      </c>
      <c r="F11">
        <f>CIQ("CMG","IQ_TOTAL_REV")</f>
        <v/>
      </c>
      <c r="G11">
        <f>CIQ("CMG","IQ_EBITDA")</f>
        <v/>
      </c>
      <c r="H11">
        <f>CIQ("CMG","IQ_MEAN_REVENUE_EST")</f>
        <v/>
      </c>
      <c r="I11">
        <f>CIQ("CMG","IQ_MEAN_EBITDA_EST")</f>
        <v/>
      </c>
    </row>
    <row r="12">
      <c r="A12" t="inlineStr">
        <is>
          <t>WTCHF</t>
        </is>
      </c>
      <c r="B12">
        <f>CIQ("WTCHF","IQ_COMPANY_NAME")</f>
        <v/>
      </c>
      <c r="C12">
        <f>CIQ("WTCHF","IQ_CLOSEPRICE")</f>
        <v/>
      </c>
      <c r="D12">
        <f>CIQ("WTCHF","IQ_MARKETCAP")</f>
        <v/>
      </c>
      <c r="E12">
        <f>CIQ("WTCHF","IQ_TEV")</f>
        <v/>
      </c>
      <c r="F12">
        <f>CIQ("WTCHF","IQ_TOTAL_REV")</f>
        <v/>
      </c>
      <c r="G12">
        <f>CIQ("WTCHF","IQ_EBITDA")</f>
        <v/>
      </c>
      <c r="H12">
        <f>CIQ("WTCHF","IQ_MEAN_REVENUE_EST")</f>
        <v/>
      </c>
      <c r="I12">
        <f>CIQ("WTCHF","IQ_MEAN_EBITDA_EST")</f>
        <v/>
      </c>
    </row>
    <row r="13">
      <c r="A13" t="inlineStr">
        <is>
          <t>CNSWF</t>
        </is>
      </c>
      <c r="B13">
        <f>CIQ("CNSWF","IQ_COMPANY_NAME")</f>
        <v/>
      </c>
      <c r="C13">
        <f>CIQ("CNSWF","IQ_CLOSEPRICE")</f>
        <v/>
      </c>
      <c r="D13">
        <f>CIQ("CNSWF","IQ_MARKETCAP")</f>
        <v/>
      </c>
      <c r="E13">
        <f>CIQ("CNSWF","IQ_TEV")</f>
        <v/>
      </c>
      <c r="F13">
        <f>CIQ("CNSWF","IQ_TOTAL_REV")</f>
        <v/>
      </c>
      <c r="G13">
        <f>CIQ("CNSWF","IQ_EBITDA")</f>
        <v/>
      </c>
      <c r="H13">
        <f>CIQ("CNSWF","IQ_MEAN_REVENUE_EST")</f>
        <v/>
      </c>
      <c r="I13">
        <f>CIQ("CNSWF","IQ_MEAN_EBITDA_EST")</f>
        <v/>
      </c>
    </row>
    <row r="15">
      <c r="A15" t="inlineStr">
        <is>
          <t>── Fallback Metrics ──</t>
        </is>
      </c>
    </row>
    <row r="16">
      <c r="A16" t="inlineStr">
        <is>
          <t>DSGX|IQ_ENTERPRISE_VALUE</t>
        </is>
      </c>
      <c r="B16">
        <f>CIQ("DSGX","IQ_ENTERPRISE_VALUE")</f>
        <v/>
      </c>
    </row>
    <row r="17">
      <c r="A17" t="inlineStr">
        <is>
          <t>IEX|IQ_ENTERPRISE_VALUE</t>
        </is>
      </c>
      <c r="B17">
        <f>CIQ("IEX","IQ_ENTERPRISE_VALUE")</f>
        <v/>
      </c>
    </row>
    <row r="18">
      <c r="A18" t="inlineStr">
        <is>
          <t>CMG:TSX|IQ_ENTERPRISE_VALUE</t>
        </is>
      </c>
      <c r="B18">
        <f>CIQ("CMG:TSX","IQ_ENTERPRISE_VALUE")</f>
        <v/>
      </c>
    </row>
    <row r="19">
      <c r="A19" t="inlineStr">
        <is>
          <t>MANH|IQ_ENTERPRISE_VALUE</t>
        </is>
      </c>
      <c r="B19">
        <f>CIQ("MANH","IQ_ENTERPRISE_VALUE")</f>
        <v/>
      </c>
    </row>
    <row r="20">
      <c r="A20" t="inlineStr">
        <is>
          <t>WTC:ASX|IQ_ENTERPRISE_VALUE</t>
        </is>
      </c>
      <c r="B20">
        <f>CIQ("WTC:ASX","IQ_ENTERPRISE_VALUE")</f>
        <v/>
      </c>
    </row>
    <row r="21">
      <c r="A21" t="inlineStr">
        <is>
          <t>ROP|IQ_ENTERPRISE_VALUE</t>
        </is>
      </c>
      <c r="B21">
        <f>CIQ("ROP","IQ_ENTERPRISE_VALUE")</f>
        <v/>
      </c>
    </row>
    <row r="22">
      <c r="A22" t="inlineStr">
        <is>
          <t>CSU:TSX|IQ_ENTERPRISE_VALUE</t>
        </is>
      </c>
      <c r="B22">
        <f>CIQ("CSU:TSX","IQ_ENTERPRISE_VALUE")</f>
        <v/>
      </c>
    </row>
    <row r="23">
      <c r="A23" t="inlineStr">
        <is>
          <t>DSGX|IQ_EV</t>
        </is>
      </c>
      <c r="B23">
        <f>CIQ("DSGX","IQ_EV")</f>
        <v/>
      </c>
    </row>
    <row r="24">
      <c r="A24" t="inlineStr">
        <is>
          <t>IEX|IQ_EV</t>
        </is>
      </c>
      <c r="B24">
        <f>CIQ("IEX","IQ_EV")</f>
        <v/>
      </c>
    </row>
    <row r="25">
      <c r="A25" t="inlineStr">
        <is>
          <t>CMG:TSX|IQ_EV</t>
        </is>
      </c>
      <c r="B25">
        <f>CIQ("CMG:TSX","IQ_EV")</f>
        <v/>
      </c>
    </row>
    <row r="26">
      <c r="A26" t="inlineStr">
        <is>
          <t>MANH|IQ_EV</t>
        </is>
      </c>
      <c r="B26">
        <f>CIQ("MANH","IQ_EV")</f>
        <v/>
      </c>
    </row>
    <row r="27">
      <c r="A27" t="inlineStr">
        <is>
          <t>WTC:ASX|IQ_EV</t>
        </is>
      </c>
      <c r="B27">
        <f>CIQ("WTC:ASX","IQ_EV")</f>
        <v/>
      </c>
    </row>
    <row r="28">
      <c r="A28" t="inlineStr">
        <is>
          <t>ROP|IQ_EV</t>
        </is>
      </c>
      <c r="B28">
        <f>CIQ("ROP","IQ_EV")</f>
        <v/>
      </c>
    </row>
    <row r="29">
      <c r="A29" t="inlineStr">
        <is>
          <t>CSU:TSX|IQ_EV</t>
        </is>
      </c>
      <c r="B29">
        <f>CIQ("CSU:TSX","IQ_EV")</f>
        <v/>
      </c>
    </row>
    <row r="30">
      <c r="A30" t="inlineStr">
        <is>
          <t>DSGX|IQ_REVENUE_EST</t>
        </is>
      </c>
      <c r="B30">
        <f>CIQ("DSGX","IQ_REVENUE_EST")</f>
        <v/>
      </c>
    </row>
    <row r="31">
      <c r="A31" t="inlineStr">
        <is>
          <t>IEX|IQ_REVENUE_EST</t>
        </is>
      </c>
      <c r="B31">
        <f>CIQ("IEX","IQ_REVENUE_EST")</f>
        <v/>
      </c>
    </row>
    <row r="32">
      <c r="A32" t="inlineStr">
        <is>
          <t>CMG:TSX|IQ_REVENUE_EST</t>
        </is>
      </c>
      <c r="B32">
        <f>CIQ("CMG:TSX","IQ_REVENUE_EST")</f>
        <v/>
      </c>
    </row>
    <row r="33">
      <c r="A33" t="inlineStr">
        <is>
          <t>MANH|IQ_REVENUE_EST</t>
        </is>
      </c>
      <c r="B33">
        <f>CIQ("MANH","IQ_REVENUE_EST")</f>
        <v/>
      </c>
    </row>
    <row r="34">
      <c r="A34" t="inlineStr">
        <is>
          <t>WTC:ASX|IQ_REVENUE_EST</t>
        </is>
      </c>
      <c r="B34">
        <f>CIQ("WTC:ASX","IQ_REVENUE_EST")</f>
        <v/>
      </c>
    </row>
    <row r="35">
      <c r="A35" t="inlineStr">
        <is>
          <t>ROP|IQ_REVENUE_EST</t>
        </is>
      </c>
      <c r="B35">
        <f>CIQ("ROP","IQ_REVENUE_EST")</f>
        <v/>
      </c>
    </row>
    <row r="36">
      <c r="A36" t="inlineStr">
        <is>
          <t>CSU:TSX|IQ_REVENUE_EST</t>
        </is>
      </c>
      <c r="B36">
        <f>CIQ("CSU:TSX","IQ_REVENUE_EST")</f>
        <v/>
      </c>
    </row>
    <row r="37">
      <c r="A37" t="inlineStr">
        <is>
          <t>DSGX|IQ_EBITDA_EST</t>
        </is>
      </c>
      <c r="B37">
        <f>CIQ("DSGX","IQ_EBITDA_EST")</f>
        <v/>
      </c>
    </row>
    <row r="38">
      <c r="A38" t="inlineStr">
        <is>
          <t>IEX|IQ_EBITDA_EST</t>
        </is>
      </c>
      <c r="B38">
        <f>CIQ("IEX","IQ_EBITDA_EST")</f>
        <v/>
      </c>
    </row>
    <row r="39">
      <c r="A39" t="inlineStr">
        <is>
          <t>CMG:TSX|IQ_EBITDA_EST</t>
        </is>
      </c>
      <c r="B39">
        <f>CIQ("CMG:TSX","IQ_EBITDA_EST")</f>
        <v/>
      </c>
    </row>
    <row r="40">
      <c r="A40" t="inlineStr">
        <is>
          <t>MANH|IQ_EBITDA_EST</t>
        </is>
      </c>
      <c r="B40">
        <f>CIQ("MANH","IQ_EBITDA_EST")</f>
        <v/>
      </c>
    </row>
    <row r="41">
      <c r="A41" t="inlineStr">
        <is>
          <t>WTC:ASX|IQ_EBITDA_EST</t>
        </is>
      </c>
      <c r="B41">
        <f>CIQ("WTC:ASX","IQ_EBITDA_EST")</f>
        <v/>
      </c>
    </row>
    <row r="42">
      <c r="A42" t="inlineStr">
        <is>
          <t>ROP|IQ_EBITDA_EST</t>
        </is>
      </c>
      <c r="B42">
        <f>CIQ("ROP","IQ_EBITDA_EST")</f>
        <v/>
      </c>
    </row>
    <row r="43">
      <c r="A43" t="inlineStr">
        <is>
          <t>CSU:TSX|IQ_EBITDA_EST</t>
        </is>
      </c>
      <c r="B43">
        <f>CIQ("CSU:TSX","IQ_EBITDA_EST")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2026-02-26T04:06:02Z</dcterms:created>
  <dcterms:modified xmlns:dcterms="http://purl.org/dc/terms/" xmlns:xsi="http://www.w3.org/2001/XMLSchema-instance" xsi:type="dcterms:W3CDTF">2026-02-26T04:06:02Z</dcterms:modified>
</cp:coreProperties>
</file>