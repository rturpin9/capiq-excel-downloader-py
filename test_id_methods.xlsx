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Type</t>
        </is>
      </c>
      <c r="C1" t="inlineStr">
        <is>
          <t>CIQ() ID</t>
        </is>
      </c>
      <c r="D1" t="inlineStr">
        <is>
          <t>CIQ() Name</t>
        </is>
      </c>
      <c r="E1" t="inlineStr">
        <is>
          <t>CIQRANGEA() ID</t>
        </is>
      </c>
      <c r="F1" t="inlineStr">
        <is>
          <t>CIQRANGEA() Name</t>
        </is>
      </c>
      <c r="G1" t="inlineStr">
        <is>
          <t>SPG() ID</t>
        </is>
      </c>
      <c r="H1" t="inlineStr">
        <is>
          <t>SPG() Name</t>
        </is>
      </c>
    </row>
    <row r="2">
      <c r="A2" t="inlineStr">
        <is>
          <t>NVDA</t>
        </is>
      </c>
      <c r="B2" t="inlineStr">
        <is>
          <t>ticker</t>
        </is>
      </c>
      <c r="C2">
        <f>CIQ("NVDA","IQ_COMPANY_ID")</f>
        <v/>
      </c>
      <c r="D2">
        <f>CIQ("NVDA","IQ_COMPANY_NAME")</f>
        <v/>
      </c>
      <c r="E2">
        <f>CIQRANGEA("NVDA","IQ_COMPANY_ID_QUICK_MATCH",1,1)</f>
        <v/>
      </c>
      <c r="F2">
        <f>CIQRANGEA("NVDA","IQ_COMPANY_NAME_QUICK_MATCH",1,1)</f>
        <v/>
      </c>
      <c r="G2">
        <f>SPG("NVDA","IQ_COMPANY_ID")</f>
        <v/>
      </c>
      <c r="H2">
        <f>SPG("NVDA","IQ_COMPANY_NAME")</f>
        <v/>
      </c>
    </row>
    <row r="3">
      <c r="A3" t="inlineStr">
        <is>
          <t>Microsoft</t>
        </is>
      </c>
      <c r="B3" t="inlineStr">
        <is>
          <t>name</t>
        </is>
      </c>
      <c r="C3">
        <f>CIQ("Microsoft","IQ_COMPANY_ID")</f>
        <v/>
      </c>
      <c r="D3">
        <f>CIQ("Microsoft","IQ_COMPANY_NAME")</f>
        <v/>
      </c>
      <c r="E3">
        <f>CIQRANGEA("Microsoft","IQ_COMPANY_ID_QUICK_MATCH",1,1)</f>
        <v/>
      </c>
      <c r="F3">
        <f>CIQRANGEA("Microsoft","IQ_COMPANY_NAME_QUICK_MATCH",1,1)</f>
        <v/>
      </c>
      <c r="G3">
        <f>SPG("Microsoft","IQ_COMPANY_ID")</f>
        <v/>
      </c>
      <c r="H3">
        <f>SPG("Microsoft","IQ_COMPANY_NAME")</f>
        <v/>
      </c>
    </row>
    <row r="4">
      <c r="A4" t="inlineStr">
        <is>
          <t>Microsoft Corporation</t>
        </is>
      </c>
      <c r="B4" t="inlineStr">
        <is>
          <t>full name</t>
        </is>
      </c>
      <c r="C4">
        <f>CIQ("Microsoft Corporation","IQ_COMPANY_ID")</f>
        <v/>
      </c>
      <c r="D4">
        <f>CIQ("Microsoft Corporation","IQ_COMPANY_NAME")</f>
        <v/>
      </c>
      <c r="E4">
        <f>CIQRANGEA("Microsoft Corporation","IQ_COMPANY_ID_QUICK_MATCH",1,1)</f>
        <v/>
      </c>
      <c r="F4">
        <f>CIQRANGEA("Microsoft Corporation","IQ_COMPANY_NAME_QUICK_MATCH",1,1)</f>
        <v/>
      </c>
      <c r="G4">
        <f>SPG("Microsoft Corporation","IQ_COMPANY_ID")</f>
        <v/>
      </c>
      <c r="H4">
        <f>SPG("Microsoft Corporation","IQ_COMPANY_NAME")</f>
        <v/>
      </c>
    </row>
    <row r="5">
      <c r="A5" t="inlineStr">
        <is>
          <t>03783310</t>
        </is>
      </c>
      <c r="B5" t="inlineStr">
        <is>
          <t>CUSIP (Apple)</t>
        </is>
      </c>
      <c r="C5">
        <f>CIQ("03783310","IQ_COMPANY_ID")</f>
        <v/>
      </c>
      <c r="D5">
        <f>CIQ("03783310","IQ_COMPANY_NAME")</f>
        <v/>
      </c>
      <c r="E5">
        <f>CIQRANGEA("03783310","IQ_COMPANY_ID_QUICK_MATCH",1,1)</f>
        <v/>
      </c>
      <c r="F5">
        <f>CIQRANGEA("03783310","IQ_COMPANY_NAME_QUICK_MATCH",1,1)</f>
        <v/>
      </c>
      <c r="G5">
        <f>SPG("03783310","IQ_COMPANY_ID")</f>
        <v/>
      </c>
      <c r="H5">
        <f>SPG("03783310","IQ_COMPANY_NAME")</f>
        <v/>
      </c>
    </row>
    <row r="6">
      <c r="A6" t="inlineStr">
        <is>
          <t>US0378331005</t>
        </is>
      </c>
      <c r="B6" t="inlineStr">
        <is>
          <t>ISIN (Apple)</t>
        </is>
      </c>
      <c r="C6">
        <f>CIQ("US0378331005","IQ_COMPANY_ID")</f>
        <v/>
      </c>
      <c r="D6">
        <f>CIQ("US0378331005","IQ_COMPANY_NAME")</f>
        <v/>
      </c>
      <c r="E6">
        <f>CIQRANGEA("US0378331005","IQ_COMPANY_ID_QUICK_MATCH",1,1)</f>
        <v/>
      </c>
      <c r="F6">
        <f>CIQRANGEA("US0378331005","IQ_COMPANY_NAME_QUICK_MATCH",1,1)</f>
        <v/>
      </c>
      <c r="G6">
        <f>SPG("US0378331005","IQ_COMPANY_ID")</f>
        <v/>
      </c>
      <c r="H6">
        <f>SPG("US0378331005","IQ_COMPANY_NAME")</f>
        <v/>
      </c>
    </row>
    <row r="7">
      <c r="A7" t="inlineStr">
        <is>
          <t>TSX:CSU</t>
        </is>
      </c>
      <c r="B7" t="inlineStr">
        <is>
          <t>exchange:ticker</t>
        </is>
      </c>
      <c r="C7">
        <f>CIQ("TSX:CSU","IQ_COMPANY_ID")</f>
        <v/>
      </c>
      <c r="D7">
        <f>CIQ("TSX:CSU","IQ_COMPANY_NAME")</f>
        <v/>
      </c>
      <c r="E7">
        <f>CIQRANGEA("TSX:CSU","IQ_COMPANY_ID_QUICK_MATCH",1,1)</f>
        <v/>
      </c>
      <c r="F7">
        <f>CIQRANGEA("TSX:CSU","IQ_COMPANY_NAME_QUICK_MATCH",1,1)</f>
        <v/>
      </c>
      <c r="G7">
        <f>SPG("TSX:CSU","IQ_COMPANY_ID")</f>
        <v/>
      </c>
      <c r="H7">
        <f>SPG("TSX:CSU","IQ_COMPANY_NAME")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2026-03-01T04:33:58Z</dcterms:created>
  <dcterms:modified xmlns:dcterms="http://purl.org/dc/terms/" xmlns:xsi="http://www.w3.org/2001/XMLSchema-instance" xsi:type="dcterms:W3CDTF">2026-03-01T04:33:58Z</dcterms:modified>
</cp:coreProperties>
</file>