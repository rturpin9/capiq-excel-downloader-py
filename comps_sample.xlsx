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Adjusted" sheetId="1" state="visible" r:id="rId1"/>
    <sheet xmlns:r="http://schemas.openxmlformats.org/officeDocument/2006/relationships" name="Excluding Le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%;(0.0%)"/>
    <numFmt numFmtId="166" formatCode="#,##0.0&quot;x&quot;;(#,##0.0&quot;x&quot;)"/>
  </numFmts>
  <fonts count="7">
    <font>
      <name val="Calibri"/>
      <family val="2"/>
      <color theme="1"/>
      <sz val="11"/>
      <scheme val="minor"/>
    </font>
    <font>
      <name val="Lato"/>
      <b val="1"/>
      <color rgb="FFFFFFFF"/>
      <sz val="11"/>
    </font>
    <font>
      <name val="Lato"/>
      <b val="1"/>
      <i val="1"/>
      <color rgb="FF000000"/>
      <sz val="11"/>
    </font>
    <font>
      <name val="Lato"/>
      <color rgb="FF00B050"/>
      <sz val="11"/>
    </font>
    <font>
      <name val="Lato"/>
      <color rgb="FF000000"/>
      <sz val="11"/>
    </font>
    <font>
      <name val="Lato"/>
      <b val="1"/>
      <color rgb="FF000000"/>
      <sz val="11"/>
    </font>
    <font>
      <name val="Lato"/>
      <i val="1"/>
      <color rgb="FF808080"/>
      <sz val="8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  <fill>
      <patternFill patternType="solid">
        <fgColor rgb="FF0A1748"/>
      </patternFill>
    </fill>
    <fill>
      <patternFill patternType="solid">
        <fgColor rgb="FF3091BA"/>
      </patternFill>
    </fill>
    <fill>
      <patternFill patternType="solid">
        <fgColor rgb="FFFAD043"/>
      </patternFill>
    </fill>
  </fills>
  <borders count="22">
    <border>
      <left/>
      <right/>
      <top/>
      <bottom/>
      <diagonal/>
    </border>
    <border>
      <left style="thin">
        <color rgb="FF0A1748"/>
      </left>
      <right/>
      <top style="thin">
        <color rgb="FF0A1748"/>
      </top>
      <bottom style="thin">
        <color rgb="FF0A1748"/>
      </bottom>
    </border>
    <border>
      <left/>
      <right/>
      <top style="thin">
        <color rgb="FF0A1748"/>
      </top>
      <bottom style="thin">
        <color rgb="FF0A1748"/>
      </bottom>
    </border>
    <border>
      <left/>
      <right style="thin">
        <color rgb="FF0A1748"/>
      </right>
      <top style="thin">
        <color rgb="FF0A1748"/>
      </top>
      <bottom style="thin">
        <color rgb="FF0A1748"/>
      </bottom>
    </border>
    <border>
      <left style="thin">
        <color rgb="FF0A1748"/>
      </left>
      <right style="thin">
        <color rgb="FF0A1748"/>
      </right>
      <top style="thin">
        <color rgb="FF0A1748"/>
      </top>
      <bottom style="thin">
        <color rgb="FF0A1748"/>
      </bottom>
    </border>
    <border>
      <left/>
      <right/>
      <top style="thin">
        <color rgb="FF0A1748"/>
      </top>
      <bottom/>
      <diagonal/>
    </border>
    <border>
      <left/>
      <right style="thin">
        <color rgb="FF0A1748"/>
      </right>
      <top style="thin">
        <color rgb="FF0A1748"/>
      </top>
      <bottom/>
      <diagonal/>
    </border>
    <border>
      <left/>
      <right/>
      <top style="thin">
        <color rgb="FF0A1748"/>
      </top>
      <bottom style="thin">
        <color rgb="FF0A1748"/>
      </bottom>
      <diagonal/>
    </border>
    <border>
      <left/>
      <right style="thin">
        <color rgb="FF0A1748"/>
      </right>
      <top style="thin">
        <color rgb="FF0A1748"/>
      </top>
      <bottom style="thin">
        <color rgb="FF0A1748"/>
      </bottom>
      <diagonal/>
    </border>
    <border>
      <left style="thin">
        <color rgb="FF0A1748"/>
      </left>
      <right/>
      <top/>
      <bottom style="thin">
        <color rgb="FF0A1748"/>
      </bottom>
    </border>
    <border>
      <left/>
      <right/>
      <top/>
      <bottom style="thin">
        <color rgb="FF0A1748"/>
      </bottom>
    </border>
    <border>
      <left/>
      <right style="thin">
        <color rgb="FF0A1748"/>
      </right>
      <top/>
      <bottom style="thin">
        <color rgb="FF0A1748"/>
      </bottom>
    </border>
    <border>
      <left style="thin">
        <color rgb="FF0A1748"/>
      </left>
      <right style="thin">
        <color rgb="FF0A1748"/>
      </right>
      <top/>
      <bottom style="thin">
        <color rgb="FF0A1748"/>
      </bottom>
    </border>
    <border>
      <left/>
      <right style="thin">
        <color rgb="FF0A1748"/>
      </right>
      <top/>
      <bottom/>
      <diagonal/>
    </border>
    <border>
      <left/>
      <right/>
      <top/>
      <bottom style="thin">
        <color rgb="FF0A1748"/>
      </bottom>
      <diagonal/>
    </border>
    <border>
      <left/>
      <right style="thin">
        <color rgb="FF0A1748"/>
      </right>
      <top/>
      <bottom style="thin">
        <color rgb="FF0A1748"/>
      </bottom>
      <diagonal/>
    </border>
    <border>
      <left style="thin">
        <color rgb="FF0A1748"/>
      </left>
      <right/>
      <top/>
      <bottom/>
    </border>
    <border>
      <left/>
      <right/>
      <top/>
      <bottom/>
    </border>
    <border>
      <left/>
      <right style="thin">
        <color rgb="FF0A1748"/>
      </right>
      <top/>
      <bottom/>
    </border>
    <border>
      <left style="thin">
        <color rgb="FF0A1748"/>
      </left>
      <right/>
      <top style="thin">
        <color rgb="FF0A1748"/>
      </top>
      <bottom/>
    </border>
    <border>
      <left/>
      <right/>
      <top style="thin">
        <color rgb="FF0A1748"/>
      </top>
      <bottom/>
    </border>
    <border>
      <left/>
      <right style="thin">
        <color rgb="FF0A1748"/>
      </right>
      <top style="thin">
        <color rgb="FF0A1748"/>
      </top>
      <bottom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2" fillId="3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right" vertical="center" wrapText="1"/>
    </xf>
    <xf numFmtId="0" fontId="1" fillId="4" borderId="3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4" fillId="0" borderId="16" applyAlignment="1" pivotButton="0" quotePrefix="0" xfId="0">
      <alignment horizontal="left" vertical="center"/>
    </xf>
    <xf numFmtId="164" fontId="4" fillId="0" borderId="17" applyAlignment="1" pivotButton="0" quotePrefix="0" xfId="0">
      <alignment horizontal="right" vertical="center"/>
    </xf>
    <xf numFmtId="164" fontId="4" fillId="0" borderId="16" applyAlignment="1" pivotButton="0" quotePrefix="0" xfId="0">
      <alignment horizontal="right" vertical="center"/>
    </xf>
    <xf numFmtId="165" fontId="4" fillId="0" borderId="17" applyAlignment="1" pivotButton="0" quotePrefix="0" xfId="0">
      <alignment horizontal="right" vertical="center"/>
    </xf>
    <xf numFmtId="166" fontId="4" fillId="0" borderId="16" applyAlignment="1" pivotButton="0" quotePrefix="0" xfId="0">
      <alignment horizontal="right" vertical="center"/>
    </xf>
    <xf numFmtId="166" fontId="4" fillId="0" borderId="17" applyAlignment="1" pivotButton="0" quotePrefix="0" xfId="0">
      <alignment horizontal="right" vertical="center"/>
    </xf>
    <xf numFmtId="165" fontId="4" fillId="0" borderId="16" applyAlignment="1" pivotButton="0" quotePrefix="0" xfId="0">
      <alignment horizontal="right" vertical="center"/>
    </xf>
    <xf numFmtId="165" fontId="4" fillId="0" borderId="18" applyAlignment="1" pivotButton="0" quotePrefix="0" xfId="0">
      <alignment horizontal="right" vertical="center"/>
    </xf>
    <xf numFmtId="0" fontId="5" fillId="6" borderId="19" applyAlignment="1" pivotButton="0" quotePrefix="0" xfId="0">
      <alignment horizontal="left" vertical="center"/>
    </xf>
    <xf numFmtId="0" fontId="5" fillId="6" borderId="20" applyAlignment="1" pivotButton="0" quotePrefix="0" xfId="0">
      <alignment horizontal="right" vertical="center"/>
    </xf>
    <xf numFmtId="0" fontId="5" fillId="6" borderId="19" applyAlignment="1" pivotButton="0" quotePrefix="0" xfId="0">
      <alignment horizontal="right" vertical="center"/>
    </xf>
    <xf numFmtId="165" fontId="5" fillId="6" borderId="20" applyAlignment="1" pivotButton="0" quotePrefix="0" xfId="0">
      <alignment horizontal="right" vertical="center"/>
    </xf>
    <xf numFmtId="166" fontId="5" fillId="6" borderId="19" applyAlignment="1" pivotButton="0" quotePrefix="0" xfId="0">
      <alignment horizontal="right" vertical="center"/>
    </xf>
    <xf numFmtId="166" fontId="5" fillId="6" borderId="20" applyAlignment="1" pivotButton="0" quotePrefix="0" xfId="0">
      <alignment horizontal="right" vertical="center"/>
    </xf>
    <xf numFmtId="165" fontId="5" fillId="6" borderId="19" applyAlignment="1" pivotButton="0" quotePrefix="0" xfId="0">
      <alignment horizontal="right" vertical="center"/>
    </xf>
    <xf numFmtId="165" fontId="5" fillId="6" borderId="21" applyAlignment="1" pivotButton="0" quotePrefix="0" xfId="0">
      <alignment horizontal="right" vertical="center"/>
    </xf>
    <xf numFmtId="0" fontId="5" fillId="6" borderId="9" applyAlignment="1" pivotButton="0" quotePrefix="0" xfId="0">
      <alignment horizontal="left" vertical="center"/>
    </xf>
    <xf numFmtId="0" fontId="5" fillId="6" borderId="10" applyAlignment="1" pivotButton="0" quotePrefix="0" xfId="0">
      <alignment horizontal="right" vertical="center"/>
    </xf>
    <xf numFmtId="0" fontId="5" fillId="6" borderId="9" applyAlignment="1" pivotButton="0" quotePrefix="0" xfId="0">
      <alignment horizontal="right" vertical="center"/>
    </xf>
    <xf numFmtId="165" fontId="5" fillId="6" borderId="10" applyAlignment="1" pivotButton="0" quotePrefix="0" xfId="0">
      <alignment horizontal="right" vertical="center"/>
    </xf>
    <xf numFmtId="166" fontId="5" fillId="6" borderId="9" applyAlignment="1" pivotButton="0" quotePrefix="0" xfId="0">
      <alignment horizontal="right" vertical="center"/>
    </xf>
    <xf numFmtId="166" fontId="5" fillId="6" borderId="10" applyAlignment="1" pivotButton="0" quotePrefix="0" xfId="0">
      <alignment horizontal="right" vertical="center"/>
    </xf>
    <xf numFmtId="165" fontId="5" fillId="6" borderId="9" applyAlignment="1" pivotButton="0" quotePrefix="0" xfId="0">
      <alignment horizontal="right" vertical="center"/>
    </xf>
    <xf numFmtId="165" fontId="5" fillId="6" borderId="11" applyAlignment="1" pivotButton="0" quotePrefix="0" xfId="0">
      <alignment horizontal="right" vertical="center"/>
    </xf>
    <xf numFmtId="0" fontId="1" fillId="4" borderId="19" applyAlignment="1" pivotButton="0" quotePrefix="0" xfId="0">
      <alignment horizontal="left" vertical="center"/>
    </xf>
    <xf numFmtId="0" fontId="1" fillId="4" borderId="20" applyAlignment="1" pivotButton="0" quotePrefix="0" xfId="0">
      <alignment horizontal="right" vertical="center"/>
    </xf>
    <xf numFmtId="0" fontId="1" fillId="4" borderId="19" applyAlignment="1" pivotButton="0" quotePrefix="0" xfId="0">
      <alignment horizontal="right" vertical="center"/>
    </xf>
    <xf numFmtId="165" fontId="1" fillId="4" borderId="20" applyAlignment="1" pivotButton="0" quotePrefix="0" xfId="0">
      <alignment horizontal="right" vertical="center"/>
    </xf>
    <xf numFmtId="166" fontId="1" fillId="4" borderId="19" applyAlignment="1" pivotButton="0" quotePrefix="0" xfId="0">
      <alignment horizontal="right" vertical="center"/>
    </xf>
    <xf numFmtId="166" fontId="1" fillId="4" borderId="20" applyAlignment="1" pivotButton="0" quotePrefix="0" xfId="0">
      <alignment horizontal="right" vertical="center"/>
    </xf>
    <xf numFmtId="165" fontId="1" fillId="4" borderId="19" applyAlignment="1" pivotButton="0" quotePrefix="0" xfId="0">
      <alignment horizontal="right" vertical="center"/>
    </xf>
    <xf numFmtId="165" fontId="1" fillId="4" borderId="21" applyAlignment="1" pivotButton="0" quotePrefix="0" xfId="0">
      <alignment horizontal="right" vertical="center"/>
    </xf>
    <xf numFmtId="0" fontId="1" fillId="4" borderId="9" applyAlignment="1" pivotButton="0" quotePrefix="0" xfId="0">
      <alignment horizontal="left" vertical="center"/>
    </xf>
    <xf numFmtId="0" fontId="1" fillId="4" borderId="10" applyAlignment="1" pivotButton="0" quotePrefix="0" xfId="0">
      <alignment horizontal="right" vertical="center"/>
    </xf>
    <xf numFmtId="0" fontId="1" fillId="4" borderId="9" applyAlignment="1" pivotButton="0" quotePrefix="0" xfId="0">
      <alignment horizontal="right" vertical="center"/>
    </xf>
    <xf numFmtId="165" fontId="1" fillId="4" borderId="10" applyAlignment="1" pivotButton="0" quotePrefix="0" xfId="0">
      <alignment horizontal="right" vertical="center"/>
    </xf>
    <xf numFmtId="166" fontId="1" fillId="4" borderId="9" applyAlignment="1" pivotButton="0" quotePrefix="0" xfId="0">
      <alignment horizontal="right" vertical="center"/>
    </xf>
    <xf numFmtId="166" fontId="1" fillId="4" borderId="10" applyAlignment="1" pivotButton="0" quotePrefix="0" xfId="0">
      <alignment horizontal="right" vertical="center"/>
    </xf>
    <xf numFmtId="165" fontId="1" fillId="4" borderId="9" applyAlignment="1" pivotButton="0" quotePrefix="0" xfId="0">
      <alignment horizontal="right" vertical="center"/>
    </xf>
    <xf numFmtId="165" fontId="1" fillId="4" borderId="1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3" customWidth="1" min="2" max="2"/>
    <col width="44" customWidth="1" min="3" max="3"/>
    <col width="13" customWidth="1" min="4" max="4"/>
    <col width="12.5" customWidth="1" min="5" max="5"/>
    <col width="12" customWidth="1" min="6" max="6"/>
    <col width="12" customWidth="1" min="7" max="7"/>
    <col width="12.5" customWidth="1" min="8" max="8"/>
    <col width="13" customWidth="1" min="9" max="9"/>
    <col width="12.5" customWidth="1" min="10" max="10"/>
    <col width="12.5" customWidth="1" min="11" max="11"/>
    <col width="12.5" customWidth="1" min="12" max="12"/>
    <col width="10" customWidth="1" min="13" max="13"/>
    <col width="12.5" customWidth="1" min="14" max="14"/>
    <col width="11" customWidth="1" min="15" max="15"/>
    <col width="11" customWidth="1" min="16" max="16"/>
    <col width="11.5" customWidth="1" min="17" max="17"/>
    <col width="11.5" customWidth="1" min="18" max="18"/>
    <col width="10.5" customWidth="1" min="19" max="19"/>
    <col width="11" customWidth="1" min="20" max="20"/>
    <col width="11" customWidth="1" min="21" max="21"/>
    <col width="11" customWidth="1" min="22" max="22"/>
  </cols>
  <sheetData>
    <row r="2" ht="20" customHeight="1">
      <c r="C2" s="1" t="inlineStr">
        <is>
          <t>Comparable Companies Analysis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n"/>
    </row>
    <row r="3" ht="16" customHeight="1">
      <c r="C3" s="4" t="inlineStr">
        <is>
          <t>As at May 25, 2026        Figures in USD$ millions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6" t="n"/>
    </row>
    <row r="4" ht="31.5" customHeight="1">
      <c r="C4" s="7" t="inlineStr">
        <is>
          <t>Company</t>
        </is>
      </c>
      <c r="D4" s="8" t="inlineStr">
        <is>
          <t>Market Cap</t>
        </is>
      </c>
      <c r="E4" s="8" t="inlineStr">
        <is>
          <t>Total Debt</t>
        </is>
      </c>
      <c r="F4" s="8" t="inlineStr">
        <is>
          <t>Leases
(US GAAP)</t>
        </is>
      </c>
      <c r="G4" s="8" t="inlineStr">
        <is>
          <t>Cash and
Equiv.</t>
        </is>
      </c>
      <c r="H4" s="8" t="inlineStr">
        <is>
          <t>Net Debt</t>
        </is>
      </c>
      <c r="I4" s="8" t="inlineStr">
        <is>
          <t>Enterprise
Value</t>
        </is>
      </c>
      <c r="J4" s="9" t="inlineStr">
        <is>
          <t>LTM
Revenue</t>
        </is>
      </c>
      <c r="K4" s="8" t="inlineStr">
        <is>
          <t>NTM
Revenue</t>
        </is>
      </c>
      <c r="L4" s="8" t="inlineStr">
        <is>
          <t>LTM
EBITDA</t>
        </is>
      </c>
      <c r="M4" s="8" t="inlineStr">
        <is>
          <t>Lease
Adj.</t>
        </is>
      </c>
      <c r="N4" s="8" t="inlineStr">
        <is>
          <t>NTM
EBITDA</t>
        </is>
      </c>
      <c r="O4" s="8" t="inlineStr">
        <is>
          <t>EBITDA
Margin %</t>
        </is>
      </c>
      <c r="P4" s="9" t="inlineStr">
        <is>
          <t>EV/
Revenue</t>
        </is>
      </c>
      <c r="Q4" s="8" t="inlineStr">
        <is>
          <t>EV/
LTM EBITDA</t>
        </is>
      </c>
      <c r="R4" s="8" t="inlineStr">
        <is>
          <t>EV/
NTM EBITDA</t>
        </is>
      </c>
      <c r="S4" s="9" t="inlineStr">
        <is>
          <t>Price to
Book</t>
        </is>
      </c>
      <c r="T4" s="8" t="inlineStr">
        <is>
          <t>Net Debt/
EBITDA</t>
        </is>
      </c>
      <c r="U4" s="9" t="inlineStr">
        <is>
          <t>ROE %</t>
        </is>
      </c>
      <c r="V4" s="10" t="inlineStr">
        <is>
          <t>Rev Growth %</t>
        </is>
      </c>
    </row>
    <row r="5">
      <c r="C5" s="11" t="inlineStr">
        <is>
          <t>Software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3" t="n"/>
    </row>
    <row r="6">
      <c r="B6" s="14" t="inlineStr">
        <is>
          <t>MANH</t>
        </is>
      </c>
      <c r="C6" s="15" t="inlineStr">
        <is>
          <t>Manhattan Associates, Inc. *</t>
        </is>
      </c>
      <c r="D6" s="16" t="n">
        <v>8203</v>
      </c>
      <c r="E6" s="16" t="n">
        <v>56</v>
      </c>
      <c r="F6" s="16" t="n">
        <v>56</v>
      </c>
      <c r="G6" s="16" t="n">
        <v>226</v>
      </c>
      <c r="H6" s="16" t="n">
        <v>-170</v>
      </c>
      <c r="I6" s="16" t="n">
        <v>8032</v>
      </c>
      <c r="J6" s="17" t="n">
        <v>1101</v>
      </c>
      <c r="K6" s="16" t="n">
        <v>1174</v>
      </c>
      <c r="L6" s="16" t="n">
        <v>298</v>
      </c>
      <c r="M6" s="16" t="n">
        <v>10</v>
      </c>
      <c r="N6" s="16" t="n">
        <v>435</v>
      </c>
      <c r="O6" s="18">
        <f>IFERROR(L6/J6,"NM")</f>
        <v/>
      </c>
      <c r="P6" s="19">
        <f>IFERROR(IF(I6/J6&gt;0,I6/J6,"NM"),"NM")</f>
        <v/>
      </c>
      <c r="Q6" s="20">
        <f>IFERROR(IF(I6/L6&gt;0,I6/L6,"NM"),"NM")</f>
        <v/>
      </c>
      <c r="R6" s="20">
        <f>IFERROR(IF(I6/N6&gt;0,I6/N6,"NM"),"NM")</f>
        <v/>
      </c>
      <c r="S6" s="19" t="n"/>
      <c r="T6" s="20">
        <f>IFERROR(IF(H6/L6&gt;0,H6/L6,"NM"),"NM")</f>
        <v/>
      </c>
      <c r="U6" s="21" t="n">
        <v>0.9620000000000001</v>
      </c>
      <c r="V6" s="22" t="n">
        <v>0.048</v>
      </c>
    </row>
    <row r="7">
      <c r="C7" s="23" t="inlineStr">
        <is>
          <t>Average Software</t>
        </is>
      </c>
      <c r="D7" s="24" t="n"/>
      <c r="E7" s="24" t="n"/>
      <c r="F7" s="24" t="n"/>
      <c r="G7" s="24" t="n"/>
      <c r="H7" s="24" t="n"/>
      <c r="I7" s="24" t="n"/>
      <c r="J7" s="25" t="n"/>
      <c r="K7" s="24" t="n"/>
      <c r="L7" s="24" t="n"/>
      <c r="M7" s="24" t="n"/>
      <c r="N7" s="24" t="n"/>
      <c r="O7" s="26">
        <f>IFERROR(AVERAGE(O6:O6),"NM")</f>
        <v/>
      </c>
      <c r="P7" s="27">
        <f>IFERROR(AVERAGE(P6:P6),"NM")</f>
        <v/>
      </c>
      <c r="Q7" s="28">
        <f>IFERROR(AVERAGE(Q6:Q6),"NM")</f>
        <v/>
      </c>
      <c r="R7" s="28">
        <f>IFERROR(AVERAGE(R6:R6),"NM")</f>
        <v/>
      </c>
      <c r="S7" s="27">
        <f>IFERROR(AVERAGE(S6:S6),"NM")</f>
        <v/>
      </c>
      <c r="T7" s="28">
        <f>IFERROR(AVERAGE(T6:T6),"NM")</f>
        <v/>
      </c>
      <c r="U7" s="29">
        <f>IFERROR(AVERAGE(U6:U6),"NM")</f>
        <v/>
      </c>
      <c r="V7" s="30">
        <f>IFERROR(AVERAGE(V6:V6),"NM")</f>
        <v/>
      </c>
    </row>
    <row r="8">
      <c r="C8" s="31" t="inlineStr">
        <is>
          <t>Median Software</t>
        </is>
      </c>
      <c r="D8" s="32" t="n"/>
      <c r="E8" s="32" t="n"/>
      <c r="F8" s="32" t="n"/>
      <c r="G8" s="32" t="n"/>
      <c r="H8" s="32" t="n"/>
      <c r="I8" s="32" t="n"/>
      <c r="J8" s="33" t="n"/>
      <c r="K8" s="32" t="n"/>
      <c r="L8" s="32" t="n"/>
      <c r="M8" s="32" t="n"/>
      <c r="N8" s="32" t="n"/>
      <c r="O8" s="34">
        <f>IFERROR(MEDIAN(O6:O6),"NM")</f>
        <v/>
      </c>
      <c r="P8" s="35">
        <f>IFERROR(MEDIAN(P6:P6),"NM")</f>
        <v/>
      </c>
      <c r="Q8" s="36">
        <f>IFERROR(MEDIAN(Q6:Q6),"NM")</f>
        <v/>
      </c>
      <c r="R8" s="36">
        <f>IFERROR(MEDIAN(R6:R6),"NM")</f>
        <v/>
      </c>
      <c r="S8" s="35">
        <f>IFERROR(MEDIAN(S6:S6),"NM")</f>
        <v/>
      </c>
      <c r="T8" s="36">
        <f>IFERROR(MEDIAN(T6:T6),"NM")</f>
        <v/>
      </c>
      <c r="U8" s="37">
        <f>IFERROR(MEDIAN(U6:U6),"NM")</f>
        <v/>
      </c>
      <c r="V8" s="38">
        <f>IFERROR(MEDIAN(V6:V6),"NM")</f>
        <v/>
      </c>
    </row>
    <row r="9">
      <c r="C9" s="11" t="inlineStr">
        <is>
          <t>Diversified Industrials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3" t="n"/>
    </row>
    <row r="10">
      <c r="B10" s="14" t="inlineStr">
        <is>
          <t>ROP</t>
        </is>
      </c>
      <c r="C10" s="15" t="inlineStr">
        <is>
          <t>Roper Technologies, Inc. *</t>
        </is>
      </c>
      <c r="D10" s="16" t="n">
        <v>32994</v>
      </c>
      <c r="E10" s="16" t="n">
        <v>10464</v>
      </c>
      <c r="F10" s="16" t="n"/>
      <c r="G10" s="16" t="n">
        <v>383</v>
      </c>
      <c r="H10" s="16" t="n">
        <v>10081</v>
      </c>
      <c r="I10" s="16" t="n">
        <v>43075</v>
      </c>
      <c r="J10" s="17" t="n">
        <v>8115</v>
      </c>
      <c r="K10" s="16" t="n">
        <v>8675</v>
      </c>
      <c r="L10" s="16" t="n">
        <v>3255</v>
      </c>
      <c r="M10" s="16" t="n">
        <v>60</v>
      </c>
      <c r="N10" s="16" t="n">
        <v>3490</v>
      </c>
      <c r="O10" s="18">
        <f>IFERROR(L10/J10,"NM")</f>
        <v/>
      </c>
      <c r="P10" s="19">
        <f>IFERROR(IF(I10/J10&gt;0,I10/J10,"NM"),"NM")</f>
        <v/>
      </c>
      <c r="Q10" s="20">
        <f>IFERROR(IF(I10/L10&gt;0,I10/L10,"NM"),"NM")</f>
        <v/>
      </c>
      <c r="R10" s="20">
        <f>IFERROR(IF(I10/N10&gt;0,I10/N10,"NM"),"NM")</f>
        <v/>
      </c>
      <c r="S10" s="19" t="n"/>
      <c r="T10" s="20">
        <f>IFERROR(IF(H10/L10&gt;0,H10/L10,"NM"),"NM")</f>
        <v/>
      </c>
      <c r="U10" s="21" t="n">
        <v>0.09</v>
      </c>
      <c r="V10" s="22" t="n">
        <v>0.121</v>
      </c>
    </row>
    <row r="11">
      <c r="B11" s="14" t="inlineStr">
        <is>
          <t>IEX</t>
        </is>
      </c>
      <c r="C11" s="15" t="inlineStr">
        <is>
          <t>IDEX Corporation *</t>
        </is>
      </c>
      <c r="D11" s="16" t="n">
        <v>15453</v>
      </c>
      <c r="E11" s="16" t="n">
        <v>1899</v>
      </c>
      <c r="F11" s="16" t="n">
        <v>27</v>
      </c>
      <c r="G11" s="16" t="n">
        <v>586</v>
      </c>
      <c r="H11" s="16" t="n">
        <v>1313</v>
      </c>
      <c r="I11" s="16" t="n">
        <v>16765</v>
      </c>
      <c r="J11" s="17" t="n">
        <v>3530</v>
      </c>
      <c r="K11" s="16" t="n">
        <v>3663</v>
      </c>
      <c r="L11" s="16" t="n">
        <v>993</v>
      </c>
      <c r="M11" s="16" t="n">
        <v>42</v>
      </c>
      <c r="N11" s="16" t="n">
        <v>1030</v>
      </c>
      <c r="O11" s="18">
        <f>IFERROR(L11/J11,"NM")</f>
        <v/>
      </c>
      <c r="P11" s="19">
        <f>IFERROR(IF(I11/J11&gt;0,I11/J11,"NM"),"NM")</f>
        <v/>
      </c>
      <c r="Q11" s="20">
        <f>IFERROR(IF(I11/L11&gt;0,I11/L11,"NM"),"NM")</f>
        <v/>
      </c>
      <c r="R11" s="20">
        <f>IFERROR(IF(I11/N11&gt;0,I11/N11,"NM"),"NM")</f>
        <v/>
      </c>
      <c r="S11" s="19" t="n"/>
      <c r="T11" s="20">
        <f>IFERROR(IF(H11/L11&gt;0,H11/L11,"NM"),"NM")</f>
        <v/>
      </c>
      <c r="U11" s="21" t="n">
        <v>0.127</v>
      </c>
      <c r="V11" s="22" t="n">
        <v>0.075</v>
      </c>
    </row>
    <row r="12">
      <c r="C12" s="23" t="inlineStr">
        <is>
          <t>Average Diversified Industrials</t>
        </is>
      </c>
      <c r="D12" s="24" t="n"/>
      <c r="E12" s="24" t="n"/>
      <c r="F12" s="24" t="n"/>
      <c r="G12" s="24" t="n"/>
      <c r="H12" s="24" t="n"/>
      <c r="I12" s="24" t="n"/>
      <c r="J12" s="25" t="n"/>
      <c r="K12" s="24" t="n"/>
      <c r="L12" s="24" t="n"/>
      <c r="M12" s="24" t="n"/>
      <c r="N12" s="24" t="n"/>
      <c r="O12" s="26">
        <f>IFERROR(AVERAGE(O10:O11),"NM")</f>
        <v/>
      </c>
      <c r="P12" s="27">
        <f>IFERROR(AVERAGE(P10:P11),"NM")</f>
        <v/>
      </c>
      <c r="Q12" s="28">
        <f>IFERROR(AVERAGE(Q10:Q11),"NM")</f>
        <v/>
      </c>
      <c r="R12" s="28">
        <f>IFERROR(AVERAGE(R10:R11),"NM")</f>
        <v/>
      </c>
      <c r="S12" s="27">
        <f>IFERROR(AVERAGE(S10:S11),"NM")</f>
        <v/>
      </c>
      <c r="T12" s="28">
        <f>IFERROR(AVERAGE(T10:T11),"NM")</f>
        <v/>
      </c>
      <c r="U12" s="29">
        <f>IFERROR(AVERAGE(U10:U11),"NM")</f>
        <v/>
      </c>
      <c r="V12" s="30">
        <f>IFERROR(AVERAGE(V10:V11),"NM")</f>
        <v/>
      </c>
    </row>
    <row r="13">
      <c r="C13" s="31" t="inlineStr">
        <is>
          <t>Median Diversified Industrials</t>
        </is>
      </c>
      <c r="D13" s="32" t="n"/>
      <c r="E13" s="32" t="n"/>
      <c r="F13" s="32" t="n"/>
      <c r="G13" s="32" t="n"/>
      <c r="H13" s="32" t="n"/>
      <c r="I13" s="32" t="n"/>
      <c r="J13" s="33" t="n"/>
      <c r="K13" s="32" t="n"/>
      <c r="L13" s="32" t="n"/>
      <c r="M13" s="32" t="n"/>
      <c r="N13" s="32" t="n"/>
      <c r="O13" s="34">
        <f>IFERROR(MEDIAN(O10:O11),"NM")</f>
        <v/>
      </c>
      <c r="P13" s="35">
        <f>IFERROR(MEDIAN(P10:P11),"NM")</f>
        <v/>
      </c>
      <c r="Q13" s="36">
        <f>IFERROR(MEDIAN(Q10:Q11),"NM")</f>
        <v/>
      </c>
      <c r="R13" s="36">
        <f>IFERROR(MEDIAN(R10:R11),"NM")</f>
        <v/>
      </c>
      <c r="S13" s="35">
        <f>IFERROR(MEDIAN(S10:S11),"NM")</f>
        <v/>
      </c>
      <c r="T13" s="36">
        <f>IFERROR(MEDIAN(T10:T11),"NM")</f>
        <v/>
      </c>
      <c r="U13" s="37">
        <f>IFERROR(MEDIAN(U10:U11),"NM")</f>
        <v/>
      </c>
      <c r="V13" s="38">
        <f>IFERROR(MEDIAN(V10:V11),"NM")</f>
        <v/>
      </c>
    </row>
    <row r="14">
      <c r="C14" s="39" t="inlineStr">
        <is>
          <t>Overall Average</t>
        </is>
      </c>
      <c r="D14" s="40" t="n"/>
      <c r="E14" s="40" t="n"/>
      <c r="F14" s="40" t="n"/>
      <c r="G14" s="40" t="n"/>
      <c r="H14" s="40" t="n"/>
      <c r="I14" s="40" t="n"/>
      <c r="J14" s="41" t="n"/>
      <c r="K14" s="40" t="n"/>
      <c r="L14" s="40" t="n"/>
      <c r="M14" s="40" t="n"/>
      <c r="N14" s="40" t="n"/>
      <c r="O14" s="42">
        <f>IFERROR(AVERAGE(O6:O6,O10:O11),"NM")</f>
        <v/>
      </c>
      <c r="P14" s="43">
        <f>IFERROR(AVERAGE(P6:P6,P10:P11),"NM")</f>
        <v/>
      </c>
      <c r="Q14" s="44">
        <f>IFERROR(AVERAGE(Q6:Q6,Q10:Q11),"NM")</f>
        <v/>
      </c>
      <c r="R14" s="44">
        <f>IFERROR(AVERAGE(R6:R6,R10:R11),"NM")</f>
        <v/>
      </c>
      <c r="S14" s="43">
        <f>IFERROR(AVERAGE(S6:S6,S10:S11),"NM")</f>
        <v/>
      </c>
      <c r="T14" s="44">
        <f>IFERROR(AVERAGE(T6:T6,T10:T11),"NM")</f>
        <v/>
      </c>
      <c r="U14" s="45">
        <f>IFERROR(AVERAGE(U6:U6,U10:U11),"NM")</f>
        <v/>
      </c>
      <c r="V14" s="46">
        <f>IFERROR(AVERAGE(V6:V6,V10:V11),"NM")</f>
        <v/>
      </c>
    </row>
    <row r="15">
      <c r="C15" s="47" t="inlineStr">
        <is>
          <t>Overall Median</t>
        </is>
      </c>
      <c r="D15" s="48" t="n"/>
      <c r="E15" s="48" t="n"/>
      <c r="F15" s="48" t="n"/>
      <c r="G15" s="48" t="n"/>
      <c r="H15" s="48" t="n"/>
      <c r="I15" s="48" t="n"/>
      <c r="J15" s="49" t="n"/>
      <c r="K15" s="48" t="n"/>
      <c r="L15" s="48" t="n"/>
      <c r="M15" s="48" t="n"/>
      <c r="N15" s="48" t="n"/>
      <c r="O15" s="50">
        <f>IFERROR(MEDIAN(O6:O6,O10:O11),"NM")</f>
        <v/>
      </c>
      <c r="P15" s="51">
        <f>IFERROR(MEDIAN(P6:P6,P10:P11),"NM")</f>
        <v/>
      </c>
      <c r="Q15" s="52">
        <f>IFERROR(MEDIAN(Q6:Q6,Q10:Q11),"NM")</f>
        <v/>
      </c>
      <c r="R15" s="52">
        <f>IFERROR(MEDIAN(R6:R6,R10:R11),"NM")</f>
        <v/>
      </c>
      <c r="S15" s="51">
        <f>IFERROR(MEDIAN(S6:S6,S10:S11),"NM")</f>
        <v/>
      </c>
      <c r="T15" s="52">
        <f>IFERROR(MEDIAN(T6:T6,T10:T11),"NM")</f>
        <v/>
      </c>
      <c r="U15" s="53">
        <f>IFERROR(MEDIAN(U6:U6,U10:U11),"NM")</f>
        <v/>
      </c>
      <c r="V15" s="54">
        <f>IFERROR(MEDIAN(V6:V6,V10:V11),"NM")</f>
        <v/>
      </c>
    </row>
    <row r="17">
      <c r="C17" s="55" t="inlineStr">
        <is>
          <t>* NTM EBITDA lease-adjusted: TTM lease expense added to consensus NTM EBITDA for US GAAP reporters as a proxy.</t>
        </is>
      </c>
    </row>
    <row r="18">
      <c r="C18" s="55" t="inlineStr">
        <is>
          <t>Source: S&amp;P Capital IQ. "NM" = not meaningful.</t>
        </is>
      </c>
    </row>
  </sheetData>
  <mergeCells count="2">
    <mergeCell ref="C2:V2"/>
    <mergeCell ref="C3:V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U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6" customWidth="1" min="1" max="1"/>
    <col width="13" customWidth="1" min="2" max="2"/>
    <col width="44" customWidth="1" min="3" max="3"/>
    <col width="13" customWidth="1" min="4" max="4"/>
    <col width="12.5" customWidth="1" min="5" max="5"/>
    <col width="12" customWidth="1" min="6" max="6"/>
    <col width="12" customWidth="1" min="7" max="7"/>
    <col width="12.5" customWidth="1" min="8" max="8"/>
    <col width="13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1" customWidth="1" min="14" max="14"/>
    <col width="11" customWidth="1" min="15" max="15"/>
    <col width="11.5" customWidth="1" min="16" max="16"/>
    <col width="11.5" customWidth="1" min="17" max="17"/>
    <col width="10.5" customWidth="1" min="18" max="18"/>
    <col width="11" customWidth="1" min="19" max="19"/>
    <col width="11" customWidth="1" min="20" max="20"/>
    <col width="11" customWidth="1" min="21" max="21"/>
  </cols>
  <sheetData>
    <row r="2" ht="20" customHeight="1">
      <c r="C2" s="1" t="inlineStr">
        <is>
          <t>Comparable Companies Analysis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</row>
    <row r="3" ht="16" customHeight="1">
      <c r="C3" s="4" t="inlineStr">
        <is>
          <t>As at May 25, 2026        Figures in USD$ millions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6" t="n"/>
    </row>
    <row r="4" ht="31.5" customHeight="1">
      <c r="C4" s="7" t="inlineStr">
        <is>
          <t>Company</t>
        </is>
      </c>
      <c r="D4" s="8" t="inlineStr">
        <is>
          <t>Market Cap</t>
        </is>
      </c>
      <c r="E4" s="8" t="inlineStr">
        <is>
          <t>Total Debt</t>
        </is>
      </c>
      <c r="F4" s="8" t="inlineStr">
        <is>
          <t>Leases
(US GAAP)</t>
        </is>
      </c>
      <c r="G4" s="8" t="inlineStr">
        <is>
          <t>Cash and
Equiv.</t>
        </is>
      </c>
      <c r="H4" s="8" t="inlineStr">
        <is>
          <t>Net Debt</t>
        </is>
      </c>
      <c r="I4" s="8" t="inlineStr">
        <is>
          <t>Enterprise
Value</t>
        </is>
      </c>
      <c r="J4" s="9" t="inlineStr">
        <is>
          <t>LTM
Revenue</t>
        </is>
      </c>
      <c r="K4" s="8" t="inlineStr">
        <is>
          <t>NTM
Revenue</t>
        </is>
      </c>
      <c r="L4" s="8" t="inlineStr">
        <is>
          <t>LTM
EBITDA</t>
        </is>
      </c>
      <c r="M4" s="8" t="inlineStr">
        <is>
          <t>NTM
EBITDA</t>
        </is>
      </c>
      <c r="N4" s="8" t="inlineStr">
        <is>
          <t>EBITDA
Margin %</t>
        </is>
      </c>
      <c r="O4" s="9" t="inlineStr">
        <is>
          <t>EV/
Revenue</t>
        </is>
      </c>
      <c r="P4" s="8" t="inlineStr">
        <is>
          <t>EV/
LTM EBITDA</t>
        </is>
      </c>
      <c r="Q4" s="8" t="inlineStr">
        <is>
          <t>EV/
NTM EBITDA</t>
        </is>
      </c>
      <c r="R4" s="9" t="inlineStr">
        <is>
          <t>Price to
Book</t>
        </is>
      </c>
      <c r="S4" s="8" t="inlineStr">
        <is>
          <t>Net Debt/
EBITDA</t>
        </is>
      </c>
      <c r="T4" s="9" t="inlineStr">
        <is>
          <t>ROE %</t>
        </is>
      </c>
      <c r="U4" s="10" t="inlineStr">
        <is>
          <t>Rev Growth %</t>
        </is>
      </c>
    </row>
    <row r="5">
      <c r="C5" s="11" t="inlineStr">
        <is>
          <t>Software</t>
        </is>
      </c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3" t="n"/>
    </row>
    <row r="6">
      <c r="B6" s="14" t="inlineStr">
        <is>
          <t>MANH</t>
        </is>
      </c>
      <c r="C6" s="15" t="inlineStr">
        <is>
          <t>Manhattan Associates, Inc.</t>
        </is>
      </c>
      <c r="D6" s="16" t="n">
        <v>8203</v>
      </c>
      <c r="E6" s="16" t="n">
        <v>0</v>
      </c>
      <c r="F6" s="16" t="n">
        <v>56</v>
      </c>
      <c r="G6" s="16" t="n">
        <v>226</v>
      </c>
      <c r="H6" s="16" t="n">
        <v>-226</v>
      </c>
      <c r="I6" s="16" t="n">
        <v>7976</v>
      </c>
      <c r="J6" s="17" t="n">
        <v>1101</v>
      </c>
      <c r="K6" s="16" t="n">
        <v>1174</v>
      </c>
      <c r="L6" s="16" t="n">
        <v>288</v>
      </c>
      <c r="M6" s="16" t="n">
        <v>424</v>
      </c>
      <c r="N6" s="18">
        <f>IFERROR(L6/J6,"NM")</f>
        <v/>
      </c>
      <c r="O6" s="19">
        <f>IFERROR(IF(I6/J6&gt;0,I6/J6,"NM"),"NM")</f>
        <v/>
      </c>
      <c r="P6" s="20">
        <f>IFERROR(IF(I6/L6&gt;0,I6/L6,"NM"),"NM")</f>
        <v/>
      </c>
      <c r="Q6" s="20">
        <f>IFERROR(IF(I6/M6&gt;0,I6/M6,"NM"),"NM")</f>
        <v/>
      </c>
      <c r="R6" s="19" t="n"/>
      <c r="S6" s="20">
        <f>IFERROR(IF(H6/L6&gt;0,H6/L6,"NM"),"NM")</f>
        <v/>
      </c>
      <c r="T6" s="21" t="n">
        <v>0.9620000000000001</v>
      </c>
      <c r="U6" s="22" t="n">
        <v>0.048</v>
      </c>
    </row>
    <row r="7">
      <c r="C7" s="23" t="inlineStr">
        <is>
          <t>Average Software</t>
        </is>
      </c>
      <c r="D7" s="24" t="n"/>
      <c r="E7" s="24" t="n"/>
      <c r="F7" s="24" t="n"/>
      <c r="G7" s="24" t="n"/>
      <c r="H7" s="24" t="n"/>
      <c r="I7" s="24" t="n"/>
      <c r="J7" s="25" t="n"/>
      <c r="K7" s="24" t="n"/>
      <c r="L7" s="24" t="n"/>
      <c r="M7" s="24" t="n"/>
      <c r="N7" s="26">
        <f>IFERROR(AVERAGE(N6:N6),"NM")</f>
        <v/>
      </c>
      <c r="O7" s="27">
        <f>IFERROR(AVERAGE(O6:O6),"NM")</f>
        <v/>
      </c>
      <c r="P7" s="28">
        <f>IFERROR(AVERAGE(P6:P6),"NM")</f>
        <v/>
      </c>
      <c r="Q7" s="28">
        <f>IFERROR(AVERAGE(Q6:Q6),"NM")</f>
        <v/>
      </c>
      <c r="R7" s="27">
        <f>IFERROR(AVERAGE(R6:R6),"NM")</f>
        <v/>
      </c>
      <c r="S7" s="28">
        <f>IFERROR(AVERAGE(S6:S6),"NM")</f>
        <v/>
      </c>
      <c r="T7" s="29">
        <f>IFERROR(AVERAGE(T6:T6),"NM")</f>
        <v/>
      </c>
      <c r="U7" s="30">
        <f>IFERROR(AVERAGE(U6:U6),"NM")</f>
        <v/>
      </c>
    </row>
    <row r="8">
      <c r="C8" s="31" t="inlineStr">
        <is>
          <t>Median Software</t>
        </is>
      </c>
      <c r="D8" s="32" t="n"/>
      <c r="E8" s="32" t="n"/>
      <c r="F8" s="32" t="n"/>
      <c r="G8" s="32" t="n"/>
      <c r="H8" s="32" t="n"/>
      <c r="I8" s="32" t="n"/>
      <c r="J8" s="33" t="n"/>
      <c r="K8" s="32" t="n"/>
      <c r="L8" s="32" t="n"/>
      <c r="M8" s="32" t="n"/>
      <c r="N8" s="34">
        <f>IFERROR(MEDIAN(N6:N6),"NM")</f>
        <v/>
      </c>
      <c r="O8" s="35">
        <f>IFERROR(MEDIAN(O6:O6),"NM")</f>
        <v/>
      </c>
      <c r="P8" s="36">
        <f>IFERROR(MEDIAN(P6:P6),"NM")</f>
        <v/>
      </c>
      <c r="Q8" s="36">
        <f>IFERROR(MEDIAN(Q6:Q6),"NM")</f>
        <v/>
      </c>
      <c r="R8" s="35">
        <f>IFERROR(MEDIAN(R6:R6),"NM")</f>
        <v/>
      </c>
      <c r="S8" s="36">
        <f>IFERROR(MEDIAN(S6:S6),"NM")</f>
        <v/>
      </c>
      <c r="T8" s="37">
        <f>IFERROR(MEDIAN(T6:T6),"NM")</f>
        <v/>
      </c>
      <c r="U8" s="38">
        <f>IFERROR(MEDIAN(U6:U6),"NM")</f>
        <v/>
      </c>
    </row>
    <row r="9">
      <c r="C9" s="11" t="inlineStr">
        <is>
          <t>Diversified Industrials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3" t="n"/>
    </row>
    <row r="10">
      <c r="B10" s="14" t="inlineStr">
        <is>
          <t>ROP</t>
        </is>
      </c>
      <c r="C10" s="15" t="inlineStr">
        <is>
          <t>Roper Technologies, Inc.</t>
        </is>
      </c>
      <c r="D10" s="16" t="n">
        <v>32994</v>
      </c>
      <c r="E10" s="16" t="n">
        <v>10464</v>
      </c>
      <c r="F10" s="16" t="n"/>
      <c r="G10" s="16" t="n">
        <v>383</v>
      </c>
      <c r="H10" s="16" t="n">
        <v>10081</v>
      </c>
      <c r="I10" s="16" t="n">
        <v>43075</v>
      </c>
      <c r="J10" s="17" t="n">
        <v>8115</v>
      </c>
      <c r="K10" s="16" t="n">
        <v>8675</v>
      </c>
      <c r="L10" s="16" t="n">
        <v>3195</v>
      </c>
      <c r="M10" s="16" t="n">
        <v>3429</v>
      </c>
      <c r="N10" s="18">
        <f>IFERROR(L10/J10,"NM")</f>
        <v/>
      </c>
      <c r="O10" s="19">
        <f>IFERROR(IF(I10/J10&gt;0,I10/J10,"NM"),"NM")</f>
        <v/>
      </c>
      <c r="P10" s="20">
        <f>IFERROR(IF(I10/L10&gt;0,I10/L10,"NM"),"NM")</f>
        <v/>
      </c>
      <c r="Q10" s="20">
        <f>IFERROR(IF(I10/M10&gt;0,I10/M10,"NM"),"NM")</f>
        <v/>
      </c>
      <c r="R10" s="19" t="n"/>
      <c r="S10" s="20">
        <f>IFERROR(IF(H10/L10&gt;0,H10/L10,"NM"),"NM")</f>
        <v/>
      </c>
      <c r="T10" s="21" t="n">
        <v>0.09</v>
      </c>
      <c r="U10" s="22" t="n">
        <v>0.121</v>
      </c>
    </row>
    <row r="11">
      <c r="B11" s="14" t="inlineStr">
        <is>
          <t>IEX</t>
        </is>
      </c>
      <c r="C11" s="15" t="inlineStr">
        <is>
          <t>IDEX Corporation</t>
        </is>
      </c>
      <c r="D11" s="16" t="n">
        <v>15453</v>
      </c>
      <c r="E11" s="16" t="n">
        <v>1872</v>
      </c>
      <c r="F11" s="16" t="n">
        <v>27</v>
      </c>
      <c r="G11" s="16" t="n">
        <v>586</v>
      </c>
      <c r="H11" s="16" t="n">
        <v>1286</v>
      </c>
      <c r="I11" s="16" t="n">
        <v>16738</v>
      </c>
      <c r="J11" s="17" t="n">
        <v>3530</v>
      </c>
      <c r="K11" s="16" t="n">
        <v>3663</v>
      </c>
      <c r="L11" s="16" t="n">
        <v>952</v>
      </c>
      <c r="M11" s="16" t="n">
        <v>988</v>
      </c>
      <c r="N11" s="18">
        <f>IFERROR(L11/J11,"NM")</f>
        <v/>
      </c>
      <c r="O11" s="19">
        <f>IFERROR(IF(I11/J11&gt;0,I11/J11,"NM"),"NM")</f>
        <v/>
      </c>
      <c r="P11" s="20">
        <f>IFERROR(IF(I11/L11&gt;0,I11/L11,"NM"),"NM")</f>
        <v/>
      </c>
      <c r="Q11" s="20">
        <f>IFERROR(IF(I11/M11&gt;0,I11/M11,"NM"),"NM")</f>
        <v/>
      </c>
      <c r="R11" s="19" t="n"/>
      <c r="S11" s="20">
        <f>IFERROR(IF(H11/L11&gt;0,H11/L11,"NM"),"NM")</f>
        <v/>
      </c>
      <c r="T11" s="21" t="n">
        <v>0.127</v>
      </c>
      <c r="U11" s="22" t="n">
        <v>0.075</v>
      </c>
    </row>
    <row r="12">
      <c r="C12" s="23" t="inlineStr">
        <is>
          <t>Average Diversified Industrials</t>
        </is>
      </c>
      <c r="D12" s="24" t="n"/>
      <c r="E12" s="24" t="n"/>
      <c r="F12" s="24" t="n"/>
      <c r="G12" s="24" t="n"/>
      <c r="H12" s="24" t="n"/>
      <c r="I12" s="24" t="n"/>
      <c r="J12" s="25" t="n"/>
      <c r="K12" s="24" t="n"/>
      <c r="L12" s="24" t="n"/>
      <c r="M12" s="24" t="n"/>
      <c r="N12" s="26">
        <f>IFERROR(AVERAGE(N10:N11),"NM")</f>
        <v/>
      </c>
      <c r="O12" s="27">
        <f>IFERROR(AVERAGE(O10:O11),"NM")</f>
        <v/>
      </c>
      <c r="P12" s="28">
        <f>IFERROR(AVERAGE(P10:P11),"NM")</f>
        <v/>
      </c>
      <c r="Q12" s="28">
        <f>IFERROR(AVERAGE(Q10:Q11),"NM")</f>
        <v/>
      </c>
      <c r="R12" s="27">
        <f>IFERROR(AVERAGE(R10:R11),"NM")</f>
        <v/>
      </c>
      <c r="S12" s="28">
        <f>IFERROR(AVERAGE(S10:S11),"NM")</f>
        <v/>
      </c>
      <c r="T12" s="29">
        <f>IFERROR(AVERAGE(T10:T11),"NM")</f>
        <v/>
      </c>
      <c r="U12" s="30">
        <f>IFERROR(AVERAGE(U10:U11),"NM")</f>
        <v/>
      </c>
    </row>
    <row r="13">
      <c r="C13" s="31" t="inlineStr">
        <is>
          <t>Median Diversified Industrials</t>
        </is>
      </c>
      <c r="D13" s="32" t="n"/>
      <c r="E13" s="32" t="n"/>
      <c r="F13" s="32" t="n"/>
      <c r="G13" s="32" t="n"/>
      <c r="H13" s="32" t="n"/>
      <c r="I13" s="32" t="n"/>
      <c r="J13" s="33" t="n"/>
      <c r="K13" s="32" t="n"/>
      <c r="L13" s="32" t="n"/>
      <c r="M13" s="32" t="n"/>
      <c r="N13" s="34">
        <f>IFERROR(MEDIAN(N10:N11),"NM")</f>
        <v/>
      </c>
      <c r="O13" s="35">
        <f>IFERROR(MEDIAN(O10:O11),"NM")</f>
        <v/>
      </c>
      <c r="P13" s="36">
        <f>IFERROR(MEDIAN(P10:P11),"NM")</f>
        <v/>
      </c>
      <c r="Q13" s="36">
        <f>IFERROR(MEDIAN(Q10:Q11),"NM")</f>
        <v/>
      </c>
      <c r="R13" s="35">
        <f>IFERROR(MEDIAN(R10:R11),"NM")</f>
        <v/>
      </c>
      <c r="S13" s="36">
        <f>IFERROR(MEDIAN(S10:S11),"NM")</f>
        <v/>
      </c>
      <c r="T13" s="37">
        <f>IFERROR(MEDIAN(T10:T11),"NM")</f>
        <v/>
      </c>
      <c r="U13" s="38">
        <f>IFERROR(MEDIAN(U10:U11),"NM")</f>
        <v/>
      </c>
    </row>
    <row r="14">
      <c r="C14" s="39" t="inlineStr">
        <is>
          <t>Overall Average</t>
        </is>
      </c>
      <c r="D14" s="40" t="n"/>
      <c r="E14" s="40" t="n"/>
      <c r="F14" s="40" t="n"/>
      <c r="G14" s="40" t="n"/>
      <c r="H14" s="40" t="n"/>
      <c r="I14" s="40" t="n"/>
      <c r="J14" s="41" t="n"/>
      <c r="K14" s="40" t="n"/>
      <c r="L14" s="40" t="n"/>
      <c r="M14" s="40" t="n"/>
      <c r="N14" s="42">
        <f>IFERROR(AVERAGE(N6:N6,N10:N11),"NM")</f>
        <v/>
      </c>
      <c r="O14" s="43">
        <f>IFERROR(AVERAGE(O6:O6,O10:O11),"NM")</f>
        <v/>
      </c>
      <c r="P14" s="44">
        <f>IFERROR(AVERAGE(P6:P6,P10:P11),"NM")</f>
        <v/>
      </c>
      <c r="Q14" s="44">
        <f>IFERROR(AVERAGE(Q6:Q6,Q10:Q11),"NM")</f>
        <v/>
      </c>
      <c r="R14" s="43">
        <f>IFERROR(AVERAGE(R6:R6,R10:R11),"NM")</f>
        <v/>
      </c>
      <c r="S14" s="44">
        <f>IFERROR(AVERAGE(S6:S6,S10:S11),"NM")</f>
        <v/>
      </c>
      <c r="T14" s="45">
        <f>IFERROR(AVERAGE(T6:T6,T10:T11),"NM")</f>
        <v/>
      </c>
      <c r="U14" s="46">
        <f>IFERROR(AVERAGE(U6:U6,U10:U11),"NM")</f>
        <v/>
      </c>
    </row>
    <row r="15">
      <c r="C15" s="47" t="inlineStr">
        <is>
          <t>Overall Median</t>
        </is>
      </c>
      <c r="D15" s="48" t="n"/>
      <c r="E15" s="48" t="n"/>
      <c r="F15" s="48" t="n"/>
      <c r="G15" s="48" t="n"/>
      <c r="H15" s="48" t="n"/>
      <c r="I15" s="48" t="n"/>
      <c r="J15" s="49" t="n"/>
      <c r="K15" s="48" t="n"/>
      <c r="L15" s="48" t="n"/>
      <c r="M15" s="48" t="n"/>
      <c r="N15" s="50">
        <f>IFERROR(MEDIAN(N6:N6,N10:N11),"NM")</f>
        <v/>
      </c>
      <c r="O15" s="51">
        <f>IFERROR(MEDIAN(O6:O6,O10:O11),"NM")</f>
        <v/>
      </c>
      <c r="P15" s="52">
        <f>IFERROR(MEDIAN(P6:P6,P10:P11),"NM")</f>
        <v/>
      </c>
      <c r="Q15" s="52">
        <f>IFERROR(MEDIAN(Q6:Q6,Q10:Q11),"NM")</f>
        <v/>
      </c>
      <c r="R15" s="51">
        <f>IFERROR(MEDIAN(R6:R6,R10:R11),"NM")</f>
        <v/>
      </c>
      <c r="S15" s="52">
        <f>IFERROR(MEDIAN(S6:S6,S10:S11),"NM")</f>
        <v/>
      </c>
      <c r="T15" s="53">
        <f>IFERROR(MEDIAN(T6:T6,T10:T11),"NM")</f>
        <v/>
      </c>
      <c r="U15" s="54">
        <f>IFERROR(MEDIAN(U6:U6,U10:U11),"NM")</f>
        <v/>
      </c>
    </row>
    <row r="17">
      <c r="C17" s="55" t="inlineStr">
        <is>
          <t>TEV and debt exclude operating leases; EBITDA excludes lease adjustment.</t>
        </is>
      </c>
    </row>
    <row r="18">
      <c r="C18" s="55" t="inlineStr">
        <is>
          <t>Source: S&amp;P Capital IQ. "NM" = not meaningful.</t>
        </is>
      </c>
    </row>
  </sheetData>
  <mergeCells count="2">
    <mergeCell ref="C3:U3"/>
    <mergeCell ref="C2:U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2026-05-25T21:04:31Z</dcterms:created>
  <dcterms:modified xmlns:dcterms="http://purl.org/dc/terms/" xmlns:xsi="http://www.w3.org/2001/XMLSchema-instance" xsi:type="dcterms:W3CDTF">2026-05-25T21:04:32Z</dcterms:modified>
</cp:coreProperties>
</file>