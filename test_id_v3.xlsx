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G Metrics" sheetId="1" state="visible" r:id="rId1"/>
    <sheet xmlns:r="http://schemas.openxmlformats.org/officeDocument/2006/relationships" name="CIQRANGEA Lay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IQ_COMPANY_ID</t>
        </is>
      </c>
      <c r="C1" t="inlineStr">
        <is>
          <t>IQ_COMPANY_ID_QUICK_MATCH</t>
        </is>
      </c>
      <c r="D1" t="inlineStr">
        <is>
          <t>COMPANY_ID</t>
        </is>
      </c>
      <c r="E1" t="inlineStr">
        <is>
          <t>SP_COMPANY_ID</t>
        </is>
      </c>
      <c r="F1" t="inlineStr">
        <is>
          <t>IQ_ENTITY_ID</t>
        </is>
      </c>
    </row>
    <row r="2">
      <c r="A2" t="inlineStr">
        <is>
          <t>Microsoft</t>
        </is>
      </c>
      <c r="B2">
        <f>SPG("Microsoft","IQ_COMPANY_ID")</f>
        <v/>
      </c>
      <c r="C2">
        <f>SPG("Microsoft","IQ_COMPANY_ID_QUICK_MATCH")</f>
        <v/>
      </c>
      <c r="D2">
        <f>SPG("Microsoft","COMPANY_ID")</f>
        <v/>
      </c>
      <c r="E2">
        <f>SPG("Microsoft","SP_COMPANY_ID")</f>
        <v/>
      </c>
      <c r="F2">
        <f>SPG("Microsoft","IQ_ENTITY_ID")</f>
        <v/>
      </c>
    </row>
    <row r="3">
      <c r="A3" t="inlineStr">
        <is>
          <t>03783310</t>
        </is>
      </c>
      <c r="B3">
        <f>SPG("03783310","IQ_COMPANY_ID")</f>
        <v/>
      </c>
      <c r="C3">
        <f>SPG("03783310","IQ_COMPANY_ID_QUICK_MATCH")</f>
        <v/>
      </c>
      <c r="D3">
        <f>SPG("03783310","COMPANY_ID")</f>
        <v/>
      </c>
      <c r="E3">
        <f>SPG("03783310","SP_COMPANY_ID")</f>
        <v/>
      </c>
      <c r="F3">
        <f>SPG("03783310","IQ_ENTITY_ID")</f>
        <v/>
      </c>
    </row>
    <row r="4">
      <c r="A4" t="inlineStr">
        <is>
          <t>NVDA</t>
        </is>
      </c>
      <c r="B4">
        <f>SPG("NVDA","IQ_COMPANY_ID")</f>
        <v/>
      </c>
      <c r="C4">
        <f>SPG("NVDA","IQ_COMPANY_ID_QUICK_MATCH")</f>
        <v/>
      </c>
      <c r="D4">
        <f>SPG("NVDA","COMPANY_ID")</f>
        <v/>
      </c>
      <c r="E4">
        <f>SPG("NVDA","SP_COMPANY_ID")</f>
        <v/>
      </c>
      <c r="F4">
        <f>SPG("NVDA","IQ_ENTITY_ID")</f>
        <v/>
      </c>
    </row>
    <row r="5">
      <c r="A5" t="inlineStr">
        <is>
          <t>US0378331005</t>
        </is>
      </c>
      <c r="B5">
        <f>SPG("US0378331005","IQ_COMPANY_ID")</f>
        <v/>
      </c>
      <c r="C5">
        <f>SPG("US0378331005","IQ_COMPANY_ID_QUICK_MATCH")</f>
        <v/>
      </c>
      <c r="D5">
        <f>SPG("US0378331005","COMPANY_ID")</f>
        <v/>
      </c>
      <c r="E5">
        <f>SPG("US0378331005","SP_COMPANY_ID")</f>
        <v/>
      </c>
      <c r="F5">
        <f>SPG("US0378331005","IQ_ENTITY_ID")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CIQRANGEA Formula</t>
        </is>
      </c>
      <c r="C1" t="inlineStr">
        <is>
          <t>Result (spill)</t>
        </is>
      </c>
      <c r="D1" t="inlineStr">
        <is>
          <t>CIQ() Fallback</t>
        </is>
      </c>
    </row>
    <row r="2">
      <c r="A2" t="inlineStr">
        <is>
          <t>Microsoft</t>
        </is>
      </c>
      <c r="B2">
        <f>CIQRANGEA("Microsoft","IQ_COMPANY_ID_QUICK_MATCH",1,1)</f>
        <v/>
      </c>
      <c r="D2">
        <f>CIQ("Microsoft","IQ_COMPANY_ID")</f>
        <v/>
      </c>
    </row>
    <row r="3">
      <c r="A3" t="inlineStr">
        <is>
          <t>03783310</t>
        </is>
      </c>
      <c r="B3">
        <f>CIQRANGEA("03783310","IQ_COMPANY_ID_QUICK_MATCH",1,1)</f>
        <v/>
      </c>
      <c r="D3">
        <f>CIQ("03783310","IQ_COMPANY_ID")</f>
        <v/>
      </c>
    </row>
    <row r="4">
      <c r="A4" t="inlineStr">
        <is>
          <t>NVDA</t>
        </is>
      </c>
      <c r="B4">
        <f>CIQRANGEA("NVDA","IQ_COMPANY_ID_QUICK_MATCH",1,1)</f>
        <v/>
      </c>
      <c r="D4">
        <f>CIQ("NVDA","IQ_COMPANY_ID")</f>
        <v/>
      </c>
    </row>
    <row r="5">
      <c r="A5" t="inlineStr">
        <is>
          <t>US0378331005</t>
        </is>
      </c>
      <c r="B5">
        <f>CIQRANGEA("US0378331005","IQ_COMPANY_ID_QUICK_MATCH",1,1)</f>
        <v/>
      </c>
      <c r="D5">
        <f>CIQ("US0378331005","IQ_COMPANY_ID")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2026-03-01T04:35:20Z</dcterms:created>
  <dcterms:modified xmlns:dcterms="http://purl.org/dc/terms/" xmlns:xsi="http://www.w3.org/2001/XMLSchema-instance" xsi:type="dcterms:W3CDTF">2026-03-01T04:35:20Z</dcterms:modified>
</cp:coreProperties>
</file>